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yers" sheetId="1" state="visible" r:id="rId3"/>
    <sheet name="Team Summary" sheetId="2" state="visible" r:id="rId4"/>
    <sheet name="Read Me" sheetId="3" state="visible" r:id="rId5"/>
  </sheets>
  <definedNames>
    <definedName function="false" hidden="true" localSheetId="0" name="_xlnm._FilterDatabase" vbProcedure="false">Players!$A$1:$G$174</definedName>
    <definedName function="false" hidden="true" localSheetId="1" name="_xlnm._FilterDatabase" vbProcedure="false">'Team Summary'!$A$1:$K$11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<sst xmlns="http://schemas.openxmlformats.org/spreadsheetml/2006/main" count="922" uniqueCount="230">
  <si>
    <t xml:space="preserve">Team</t>
  </si>
  <si>
    <t xml:space="preserve">Code</t>
  </si>
  <si>
    <t xml:space="preserve">Player</t>
  </si>
  <si>
    <t xml:space="preserve">Price (INR Lakhs)</t>
  </si>
  <si>
    <t xml:space="preserve">Price (INR Crore)</t>
  </si>
  <si>
    <t xml:space="preserve">Overseas</t>
  </si>
  <si>
    <t xml:space="preserve">Traded</t>
  </si>
  <si>
    <t xml:space="preserve">Chennai Super Kings</t>
  </si>
  <si>
    <t xml:space="preserve">CSK</t>
  </si>
  <si>
    <t xml:space="preserve">Anshul Kamboj</t>
  </si>
  <si>
    <t xml:space="preserve">No</t>
  </si>
  <si>
    <t xml:space="preserve">Gurjapneet Singh</t>
  </si>
  <si>
    <t xml:space="preserve">Jamie Overton</t>
  </si>
  <si>
    <t xml:space="preserve">Yes</t>
  </si>
  <si>
    <t xml:space="preserve">MS Dhoni</t>
  </si>
  <si>
    <t xml:space="preserve">Mukesh Choudhary</t>
  </si>
  <si>
    <t xml:space="preserve">Nathan Ellis</t>
  </si>
  <si>
    <t xml:space="preserve">Noor Ahmad</t>
  </si>
  <si>
    <t xml:space="preserve">Ramakrishna Ghosh</t>
  </si>
  <si>
    <t xml:space="preserve">Sanju Samson</t>
  </si>
  <si>
    <t xml:space="preserve">Ruturaj Gaikwad</t>
  </si>
  <si>
    <t xml:space="preserve">Shivam Dube</t>
  </si>
  <si>
    <t xml:space="preserve">Shreyas Gopal</t>
  </si>
  <si>
    <t xml:space="preserve">Syed Khaleel Ahmed</t>
  </si>
  <si>
    <t xml:space="preserve">Ayush Mhatre</t>
  </si>
  <si>
    <t xml:space="preserve">Dewald Brevis</t>
  </si>
  <si>
    <t xml:space="preserve">Urvil Patel</t>
  </si>
  <si>
    <t xml:space="preserve">Delhi Capitals</t>
  </si>
  <si>
    <t xml:space="preserve">DC</t>
  </si>
  <si>
    <t xml:space="preserve">Abhishek Porel</t>
  </si>
  <si>
    <t xml:space="preserve">Ajay Mandal</t>
  </si>
  <si>
    <t xml:space="preserve">Ashutosh Sharma</t>
  </si>
  <si>
    <t xml:space="preserve">Axar Patel</t>
  </si>
  <si>
    <t xml:space="preserve">Dushmantha Chameera</t>
  </si>
  <si>
    <t xml:space="preserve">Karun Nair</t>
  </si>
  <si>
    <t xml:space="preserve">KL Rahul</t>
  </si>
  <si>
    <t xml:space="preserve">Kuldeep Yadav</t>
  </si>
  <si>
    <t xml:space="preserve">Madhav Tiwari</t>
  </si>
  <si>
    <t xml:space="preserve">Mitchell Starc</t>
  </si>
  <si>
    <t xml:space="preserve">Mukesh Kumar</t>
  </si>
  <si>
    <t xml:space="preserve">Nitish Rana</t>
  </si>
  <si>
    <t xml:space="preserve">Sameer Rizvi</t>
  </si>
  <si>
    <t xml:space="preserve">T. Natarajan</t>
  </si>
  <si>
    <t xml:space="preserve">Tripurana Vijay</t>
  </si>
  <si>
    <t xml:space="preserve">Tristan Stubbs</t>
  </si>
  <si>
    <t xml:space="preserve">Vipraj Nigam</t>
  </si>
  <si>
    <t xml:space="preserve">Gujarat Titans</t>
  </si>
  <si>
    <t xml:space="preserve">GT</t>
  </si>
  <si>
    <t xml:space="preserve">Anuj Rawat</t>
  </si>
  <si>
    <t xml:space="preserve">Glenn Phillips</t>
  </si>
  <si>
    <t xml:space="preserve">Gurnoor Singh Brar</t>
  </si>
  <si>
    <t xml:space="preserve">Ishant Sharma</t>
  </si>
  <si>
    <t xml:space="preserve">Jayant Yadav</t>
  </si>
  <si>
    <t xml:space="preserve">Jos Buttler</t>
  </si>
  <si>
    <t xml:space="preserve">Kagiso Rabada</t>
  </si>
  <si>
    <t xml:space="preserve">Kumar Kushagra</t>
  </si>
  <si>
    <t xml:space="preserve">Manav Suthar</t>
  </si>
  <si>
    <t xml:space="preserve">Mohammad Siraj</t>
  </si>
  <si>
    <t xml:space="preserve">Mohd. Arshad Khan</t>
  </si>
  <si>
    <t xml:space="preserve">Nishant Sindhu</t>
  </si>
  <si>
    <t xml:space="preserve">Prasidh Krishna</t>
  </si>
  <si>
    <t xml:space="preserve">R. Sai Kishore</t>
  </si>
  <si>
    <t xml:space="preserve">Rahul Tewatia</t>
  </si>
  <si>
    <t xml:space="preserve">Rashid Khan</t>
  </si>
  <si>
    <t xml:space="preserve">Sai Sudharsan</t>
  </si>
  <si>
    <t xml:space="preserve">Shahrukh Khan</t>
  </si>
  <si>
    <t xml:space="preserve">Shubman Gill</t>
  </si>
  <si>
    <t xml:space="preserve">Washington Sundar</t>
  </si>
  <si>
    <t xml:space="preserve">Kolkata Knight Riders</t>
  </si>
  <si>
    <t xml:space="preserve">KKR</t>
  </si>
  <si>
    <t xml:space="preserve">Ajinkya Rahane</t>
  </si>
  <si>
    <t xml:space="preserve">Angkrish Raghuvanshi</t>
  </si>
  <si>
    <t xml:space="preserve">Anukul Roy</t>
  </si>
  <si>
    <t xml:space="preserve">Harshit Rana</t>
  </si>
  <si>
    <t xml:space="preserve">Manish Pandey</t>
  </si>
  <si>
    <t xml:space="preserve">Ramandeep Singh</t>
  </si>
  <si>
    <t xml:space="preserve">Rinku Singh</t>
  </si>
  <si>
    <t xml:space="preserve">Rovman Powell</t>
  </si>
  <si>
    <t xml:space="preserve">Sunil Narine</t>
  </si>
  <si>
    <t xml:space="preserve">Umran Malik</t>
  </si>
  <si>
    <t xml:space="preserve">Vaibhav Arora</t>
  </si>
  <si>
    <t xml:space="preserve">Varun Chakaravarthy</t>
  </si>
  <si>
    <t xml:space="preserve">Lucknow Super Giants</t>
  </si>
  <si>
    <t xml:space="preserve">LSG</t>
  </si>
  <si>
    <t xml:space="preserve">Abdul Samad</t>
  </si>
  <si>
    <t xml:space="preserve">Aiden Markram</t>
  </si>
  <si>
    <t xml:space="preserve">Akash Singh</t>
  </si>
  <si>
    <t xml:space="preserve">Arjun Tendulkar</t>
  </si>
  <si>
    <t xml:space="preserve">Arshin Kulkarni</t>
  </si>
  <si>
    <t xml:space="preserve">Avesh Khan</t>
  </si>
  <si>
    <t xml:space="preserve">Ayush Badoni</t>
  </si>
  <si>
    <t xml:space="preserve">Digvesh Rathi</t>
  </si>
  <si>
    <t xml:space="preserve">Himmat Singh</t>
  </si>
  <si>
    <t xml:space="preserve">Manimaran Siddharth</t>
  </si>
  <si>
    <t xml:space="preserve">Matthew Breetzke</t>
  </si>
  <si>
    <t xml:space="preserve">Mayank Yadav</t>
  </si>
  <si>
    <t xml:space="preserve">Md Shami</t>
  </si>
  <si>
    <t xml:space="preserve">Mitchell Marsh</t>
  </si>
  <si>
    <t xml:space="preserve">Mohsin Khan</t>
  </si>
  <si>
    <t xml:space="preserve">Nicholas Pooran</t>
  </si>
  <si>
    <t xml:space="preserve">Prince Yadav</t>
  </si>
  <si>
    <t xml:space="preserve">Rishabh Pant</t>
  </si>
  <si>
    <t xml:space="preserve">Shahbaz Ahmed</t>
  </si>
  <si>
    <t xml:space="preserve">Mumbai Indians</t>
  </si>
  <si>
    <t xml:space="preserve">MI</t>
  </si>
  <si>
    <t xml:space="preserve">Allah Ghazanfar</t>
  </si>
  <si>
    <t xml:space="preserve">Ashwani Kumar</t>
  </si>
  <si>
    <t xml:space="preserve">Corbin Bosch</t>
  </si>
  <si>
    <t xml:space="preserve">Deepak Chahar</t>
  </si>
  <si>
    <t xml:space="preserve">Hardik Pandya</t>
  </si>
  <si>
    <t xml:space="preserve">Jasprit Bumrah</t>
  </si>
  <si>
    <t xml:space="preserve">Mayank Markande</t>
  </si>
  <si>
    <t xml:space="preserve">Mitchell Santner</t>
  </si>
  <si>
    <t xml:space="preserve">Naman Dhir</t>
  </si>
  <si>
    <t xml:space="preserve">Raghu Sharma</t>
  </si>
  <si>
    <t xml:space="preserve">Raj Angad Bawa</t>
  </si>
  <si>
    <t xml:space="preserve">Robin Minz</t>
  </si>
  <si>
    <t xml:space="preserve">Rohit Sharma</t>
  </si>
  <si>
    <t xml:space="preserve">Ryan Rickelton</t>
  </si>
  <si>
    <t xml:space="preserve">Shardul Thakur</t>
  </si>
  <si>
    <t xml:space="preserve">Sherfane Rutherford</t>
  </si>
  <si>
    <t xml:space="preserve">Suryakumar Yadav</t>
  </si>
  <si>
    <t xml:space="preserve">Tilak Verma</t>
  </si>
  <si>
    <t xml:space="preserve">Trent Boult</t>
  </si>
  <si>
    <t xml:space="preserve">Will Jacks</t>
  </si>
  <si>
    <t xml:space="preserve">Punjab Kings</t>
  </si>
  <si>
    <t xml:space="preserve">PBKS</t>
  </si>
  <si>
    <t xml:space="preserve">Arshdeep Singh</t>
  </si>
  <si>
    <t xml:space="preserve">Azmatullah Omarzai</t>
  </si>
  <si>
    <t xml:space="preserve">Harnoor Pannu</t>
  </si>
  <si>
    <t xml:space="preserve">Harpreet Brar</t>
  </si>
  <si>
    <t xml:space="preserve">Lockie Ferguson</t>
  </si>
  <si>
    <t xml:space="preserve">Marco Jansen</t>
  </si>
  <si>
    <t xml:space="preserve">Marcus Stoinis</t>
  </si>
  <si>
    <t xml:space="preserve">Mitch Owen</t>
  </si>
  <si>
    <t xml:space="preserve">Musheer Khan</t>
  </si>
  <si>
    <t xml:space="preserve">Nehal Wadhera</t>
  </si>
  <si>
    <t xml:space="preserve">Prabhsimran Singh</t>
  </si>
  <si>
    <t xml:space="preserve">Priyansh Arya</t>
  </si>
  <si>
    <t xml:space="preserve">Pyla Avinash</t>
  </si>
  <si>
    <t xml:space="preserve">Shashank Singh</t>
  </si>
  <si>
    <t xml:space="preserve">Shreyas Iyer</t>
  </si>
  <si>
    <t xml:space="preserve">Suryansh Shedge</t>
  </si>
  <si>
    <t xml:space="preserve">Vishnu Vinod</t>
  </si>
  <si>
    <t xml:space="preserve">Vyshak Vijaykumar</t>
  </si>
  <si>
    <t xml:space="preserve">Xavier Bartlett</t>
  </si>
  <si>
    <t xml:space="preserve">Yash Thakur</t>
  </si>
  <si>
    <t xml:space="preserve">Yuzvendra Chahal</t>
  </si>
  <si>
    <t xml:space="preserve">Rajasthan Royals</t>
  </si>
  <si>
    <t xml:space="preserve">RR</t>
  </si>
  <si>
    <t xml:space="preserve">Dhruv Jurel</t>
  </si>
  <si>
    <t xml:space="preserve">Donovan Ferreira</t>
  </si>
  <si>
    <t xml:space="preserve">Jofra Archer</t>
  </si>
  <si>
    <t xml:space="preserve">Kwena Maphaka</t>
  </si>
  <si>
    <t xml:space="preserve">Lhuan-Dre Pretorious</t>
  </si>
  <si>
    <t xml:space="preserve">Nandre Burger</t>
  </si>
  <si>
    <t xml:space="preserve">Ravindra Jadeja</t>
  </si>
  <si>
    <t xml:space="preserve">Riyan Parag</t>
  </si>
  <si>
    <t xml:space="preserve">Sam Curran</t>
  </si>
  <si>
    <t xml:space="preserve">Sandeep Sharma</t>
  </si>
  <si>
    <t xml:space="preserve">Shimron Hetmyer</t>
  </si>
  <si>
    <t xml:space="preserve">Shubham Dubey</t>
  </si>
  <si>
    <t xml:space="preserve">Tushar Deshpande</t>
  </si>
  <si>
    <t xml:space="preserve">Vaibhav Suryavanshi</t>
  </si>
  <si>
    <t xml:space="preserve">Yashaswi Jaiswal</t>
  </si>
  <si>
    <t xml:space="preserve">Yudhvir Charak</t>
  </si>
  <si>
    <t xml:space="preserve">Royal Challengers Bengaluru</t>
  </si>
  <si>
    <t xml:space="preserve">RCB</t>
  </si>
  <si>
    <t xml:space="preserve">Abhinandan Singh</t>
  </si>
  <si>
    <t xml:space="preserve">Bhuvneshwar Kumar</t>
  </si>
  <si>
    <t xml:space="preserve">Devdutt Padikkal</t>
  </si>
  <si>
    <t xml:space="preserve">Jacob Bethell</t>
  </si>
  <si>
    <t xml:space="preserve">Jitesh Sharma</t>
  </si>
  <si>
    <t xml:space="preserve">Josh Hazlewood</t>
  </si>
  <si>
    <t xml:space="preserve">Krunal Pandya</t>
  </si>
  <si>
    <t xml:space="preserve">Nuwan Thushara</t>
  </si>
  <si>
    <t xml:space="preserve">Phil Salt</t>
  </si>
  <si>
    <t xml:space="preserve">Rajat Patidar</t>
  </si>
  <si>
    <t xml:space="preserve">Rasikh Dar</t>
  </si>
  <si>
    <t xml:space="preserve">Romario Shepherd</t>
  </si>
  <si>
    <t xml:space="preserve">Suyash Sharma</t>
  </si>
  <si>
    <t xml:space="preserve">Swapnil Singh</t>
  </si>
  <si>
    <t xml:space="preserve">Tim David</t>
  </si>
  <si>
    <t xml:space="preserve">Virat Kohli</t>
  </si>
  <si>
    <t xml:space="preserve">Yash Dayal</t>
  </si>
  <si>
    <t xml:space="preserve">Sunrisers Hyderabad</t>
  </si>
  <si>
    <t xml:space="preserve">SRH</t>
  </si>
  <si>
    <t xml:space="preserve">Abhishek Sharma</t>
  </si>
  <si>
    <t xml:space="preserve">Aniket Verma</t>
  </si>
  <si>
    <t xml:space="preserve">Brydon Carse</t>
  </si>
  <si>
    <t xml:space="preserve">Eshan Malinga</t>
  </si>
  <si>
    <t xml:space="preserve">Harsh Dubey</t>
  </si>
  <si>
    <t xml:space="preserve">Harshal Patel</t>
  </si>
  <si>
    <t xml:space="preserve">Heinrich Klaasen</t>
  </si>
  <si>
    <t xml:space="preserve">Ishan Kishan</t>
  </si>
  <si>
    <t xml:space="preserve">Jaydev Unadkat</t>
  </si>
  <si>
    <t xml:space="preserve">Kamindu Mendis</t>
  </si>
  <si>
    <t xml:space="preserve">Nitish Kumar Reddy</t>
  </si>
  <si>
    <t xml:space="preserve">Pat Cummins</t>
  </si>
  <si>
    <t xml:space="preserve">Smaran Ravichandaran</t>
  </si>
  <si>
    <t xml:space="preserve">Travis Head</t>
  </si>
  <si>
    <t xml:space="preserve">Zeeshan Ansari</t>
  </si>
  <si>
    <t xml:space="preserve">Squad Size</t>
  </si>
  <si>
    <t xml:space="preserve">Overseas Players</t>
  </si>
  <si>
    <t xml:space="preserve">Indian Players</t>
  </si>
  <si>
    <t xml:space="preserve">Traded Players</t>
  </si>
  <si>
    <t xml:space="preserve">Purse Spent (Calc, Lakhs)</t>
  </si>
  <si>
    <t xml:space="preserve">Purse Spent (Reported, Lakhs)</t>
  </si>
  <si>
    <t xml:space="preserve">Variance (Lakhs)</t>
  </si>
  <si>
    <t xml:space="preserve">Cap Available (Reported, Lakhs)</t>
  </si>
  <si>
    <t xml:space="preserve">Purse Spent (Calc, Crore)</t>
  </si>
  <si>
    <t xml:space="preserve">TOTAL (10 teams)</t>
  </si>
  <si>
    <t xml:space="preserve">TATA IPL 2026 — Playing Squad Dataset</t>
  </si>
  <si>
    <t xml:space="preserve">Source: TATA IPL 2026 Playing Squad PDF (as provided).</t>
  </si>
  <si>
    <t xml:space="preserve">Sheets</t>
  </si>
  <si>
    <t xml:space="preserve">  Players — one row per player, 173 rows total. Filterable.</t>
  </si>
  <si>
    <t xml:space="preserve">  Team Summary — one row per team, aggregates via formulas.</t>
  </si>
  <si>
    <t xml:space="preserve">Conventions</t>
  </si>
  <si>
    <t xml:space="preserve">  Price unit: INR Lakhs (1 Crore = 100 Lakhs). Crore column = formula.</t>
  </si>
  <si>
    <t xml:space="preserve">  Overseas = 'Yes' for players marked with * in the source PDF.</t>
  </si>
  <si>
    <t xml:space="preserve">  Traded  = 'Yes' for players marked with (T) in the source PDF.</t>
  </si>
  <si>
    <t xml:space="preserve">Formulas</t>
  </si>
  <si>
    <t xml:space="preserve">  Team Summary uses COUNTIF / SUMIF against Players!B:B (team code),</t>
  </si>
  <si>
    <t xml:space="preserve">  so edits to the Players sheet flow through automatically.</t>
  </si>
  <si>
    <t xml:space="preserve">Variance note</t>
  </si>
  <si>
    <t xml:space="preserve">  Six teams' calculated purse matches the PDF's reported total exactly.</t>
  </si>
  <si>
    <t xml:space="preserve">  Four teams show a variance (CSK +200, DC +325, KKR +600, RR +400 lakhs)</t>
  </si>
  <si>
    <t xml:space="preserve">  — this reflects an internal inconsistency in the source PDF between its</t>
  </si>
  <si>
    <t xml:space="preserve">  per-player prices and its stated team totals. Both figures are preserved.</t>
  </si>
  <si>
    <t xml:space="preserve">  The 'Variance' column on Team Summary highlights non-zero rows in red.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</si>
</sst>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0.0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1F2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6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9C0006"/>
          <bgColor rgb="FF000000"/>
        </patternFill>
      </fill>
    </dxf>
    <dxf>
      <font>
        <name val="Arial"/>
        <charset val="1"/>
        <family val="0"/>
        <b val="1"/>
        <color rgb="FF9C0006"/>
        <sz val="10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7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8"/>
    <col collapsed="false" customWidth="true" hidden="false" outlineLevel="0" max="3" min="3" style="0" width="26"/>
    <col collapsed="false" customWidth="true" hidden="false" outlineLevel="0" max="5" min="4" style="0" width="18"/>
    <col collapsed="false" customWidth="true" hidden="false" outlineLevel="0" max="6" min="6" style="0" width="11"/>
    <col collapsed="false" customWidth="true" hidden="false" outlineLevel="0" max="7" min="7" style="0" width="10"/>
  </cols>
  <sheetData>
    <row r="1" customFormat="false" ht="21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" hidden="false" customHeight="false" outlineLevel="0" collapsed="false">
      <c r="A2" s="2" t="s">
        <v>7</v>
      </c>
      <c r="B2" s="3" t="s">
        <v>8</v>
      </c>
      <c r="C2" s="2" t="s">
        <v>9</v>
      </c>
      <c r="D2" s="4" t="n">
        <v>340</v>
      </c>
      <c r="E2" s="5" t="n">
        <f aca="false">D2/100</f>
        <v>3.4</v>
      </c>
      <c r="F2" s="3" t="s">
        <v>10</v>
      </c>
      <c r="G2" s="3" t="s">
        <v>10</v>
      </c>
    </row>
    <row r="3" customFormat="false" ht="15" hidden="false" customHeight="false" outlineLevel="0" collapsed="false">
      <c r="A3" s="2" t="s">
        <v>7</v>
      </c>
      <c r="B3" s="3" t="s">
        <v>8</v>
      </c>
      <c r="C3" s="2" t="s">
        <v>11</v>
      </c>
      <c r="D3" s="4" t="n">
        <v>220</v>
      </c>
      <c r="E3" s="5" t="n">
        <f aca="false">D3/100</f>
        <v>2.2</v>
      </c>
      <c r="F3" s="3" t="s">
        <v>10</v>
      </c>
      <c r="G3" s="3" t="s">
        <v>10</v>
      </c>
    </row>
    <row r="4" customFormat="false" ht="15" hidden="false" customHeight="false" outlineLevel="0" collapsed="false">
      <c r="A4" s="2" t="s">
        <v>7</v>
      </c>
      <c r="B4" s="3" t="s">
        <v>8</v>
      </c>
      <c r="C4" s="2" t="s">
        <v>12</v>
      </c>
      <c r="D4" s="4" t="n">
        <v>150</v>
      </c>
      <c r="E4" s="5" t="n">
        <f aca="false">D4/100</f>
        <v>1.5</v>
      </c>
      <c r="F4" s="3" t="s">
        <v>13</v>
      </c>
      <c r="G4" s="3" t="s">
        <v>10</v>
      </c>
    </row>
    <row r="5" customFormat="false" ht="15" hidden="false" customHeight="false" outlineLevel="0" collapsed="false">
      <c r="A5" s="2" t="s">
        <v>7</v>
      </c>
      <c r="B5" s="3" t="s">
        <v>8</v>
      </c>
      <c r="C5" s="2" t="s">
        <v>14</v>
      </c>
      <c r="D5" s="4" t="n">
        <v>400</v>
      </c>
      <c r="E5" s="5" t="n">
        <f aca="false">D5/100</f>
        <v>4</v>
      </c>
      <c r="F5" s="3" t="s">
        <v>10</v>
      </c>
      <c r="G5" s="3" t="s">
        <v>10</v>
      </c>
    </row>
    <row r="6" customFormat="false" ht="15" hidden="false" customHeight="false" outlineLevel="0" collapsed="false">
      <c r="A6" s="2" t="s">
        <v>7</v>
      </c>
      <c r="B6" s="3" t="s">
        <v>8</v>
      </c>
      <c r="C6" s="2" t="s">
        <v>15</v>
      </c>
      <c r="D6" s="4" t="n">
        <v>30</v>
      </c>
      <c r="E6" s="5" t="n">
        <f aca="false">D6/100</f>
        <v>0.3</v>
      </c>
      <c r="F6" s="3" t="s">
        <v>10</v>
      </c>
      <c r="G6" s="3" t="s">
        <v>10</v>
      </c>
    </row>
    <row r="7" customFormat="false" ht="15" hidden="false" customHeight="false" outlineLevel="0" collapsed="false">
      <c r="A7" s="2" t="s">
        <v>7</v>
      </c>
      <c r="B7" s="3" t="s">
        <v>8</v>
      </c>
      <c r="C7" s="2" t="s">
        <v>16</v>
      </c>
      <c r="D7" s="4" t="n">
        <v>200</v>
      </c>
      <c r="E7" s="5" t="n">
        <f aca="false">D7/100</f>
        <v>2</v>
      </c>
      <c r="F7" s="3" t="s">
        <v>13</v>
      </c>
      <c r="G7" s="3" t="s">
        <v>10</v>
      </c>
    </row>
    <row r="8" customFormat="false" ht="15" hidden="false" customHeight="false" outlineLevel="0" collapsed="false">
      <c r="A8" s="2" t="s">
        <v>7</v>
      </c>
      <c r="B8" s="3" t="s">
        <v>8</v>
      </c>
      <c r="C8" s="2" t="s">
        <v>17</v>
      </c>
      <c r="D8" s="4" t="n">
        <v>1000</v>
      </c>
      <c r="E8" s="5" t="n">
        <f aca="false">D8/100</f>
        <v>10</v>
      </c>
      <c r="F8" s="3" t="s">
        <v>13</v>
      </c>
      <c r="G8" s="3" t="s">
        <v>10</v>
      </c>
    </row>
    <row r="9" customFormat="false" ht="15" hidden="false" customHeight="false" outlineLevel="0" collapsed="false">
      <c r="A9" s="2" t="s">
        <v>7</v>
      </c>
      <c r="B9" s="3" t="s">
        <v>8</v>
      </c>
      <c r="C9" s="2" t="s">
        <v>18</v>
      </c>
      <c r="D9" s="4" t="n">
        <v>30</v>
      </c>
      <c r="E9" s="5" t="n">
        <f aca="false">D9/100</f>
        <v>0.3</v>
      </c>
      <c r="F9" s="3" t="s">
        <v>10</v>
      </c>
      <c r="G9" s="3" t="s">
        <v>10</v>
      </c>
    </row>
    <row r="10" customFormat="false" ht="15" hidden="false" customHeight="false" outlineLevel="0" collapsed="false">
      <c r="A10" s="2" t="s">
        <v>7</v>
      </c>
      <c r="B10" s="3" t="s">
        <v>8</v>
      </c>
      <c r="C10" s="2" t="s">
        <v>19</v>
      </c>
      <c r="D10" s="4" t="n">
        <v>1800</v>
      </c>
      <c r="E10" s="5" t="n">
        <f aca="false">D10/100</f>
        <v>18</v>
      </c>
      <c r="F10" s="3" t="s">
        <v>10</v>
      </c>
      <c r="G10" s="3" t="s">
        <v>13</v>
      </c>
    </row>
    <row r="11" customFormat="false" ht="15" hidden="false" customHeight="false" outlineLevel="0" collapsed="false">
      <c r="A11" s="2" t="s">
        <v>7</v>
      </c>
      <c r="B11" s="3" t="s">
        <v>8</v>
      </c>
      <c r="C11" s="2" t="s">
        <v>20</v>
      </c>
      <c r="D11" s="4" t="n">
        <v>1800</v>
      </c>
      <c r="E11" s="5" t="n">
        <f aca="false">D11/100</f>
        <v>18</v>
      </c>
      <c r="F11" s="3" t="s">
        <v>10</v>
      </c>
      <c r="G11" s="3" t="s">
        <v>10</v>
      </c>
    </row>
    <row r="12" customFormat="false" ht="15" hidden="false" customHeight="false" outlineLevel="0" collapsed="false">
      <c r="A12" s="2" t="s">
        <v>7</v>
      </c>
      <c r="B12" s="3" t="s">
        <v>8</v>
      </c>
      <c r="C12" s="2" t="s">
        <v>21</v>
      </c>
      <c r="D12" s="4" t="n">
        <v>1200</v>
      </c>
      <c r="E12" s="5" t="n">
        <f aca="false">D12/100</f>
        <v>12</v>
      </c>
      <c r="F12" s="3" t="s">
        <v>10</v>
      </c>
      <c r="G12" s="3" t="s">
        <v>10</v>
      </c>
    </row>
    <row r="13" customFormat="false" ht="15" hidden="false" customHeight="false" outlineLevel="0" collapsed="false">
      <c r="A13" s="2" t="s">
        <v>7</v>
      </c>
      <c r="B13" s="3" t="s">
        <v>8</v>
      </c>
      <c r="C13" s="2" t="s">
        <v>22</v>
      </c>
      <c r="D13" s="4" t="n">
        <v>30</v>
      </c>
      <c r="E13" s="5" t="n">
        <f aca="false">D13/100</f>
        <v>0.3</v>
      </c>
      <c r="F13" s="3" t="s">
        <v>10</v>
      </c>
      <c r="G13" s="3" t="s">
        <v>10</v>
      </c>
    </row>
    <row r="14" customFormat="false" ht="15" hidden="false" customHeight="false" outlineLevel="0" collapsed="false">
      <c r="A14" s="2" t="s">
        <v>7</v>
      </c>
      <c r="B14" s="3" t="s">
        <v>8</v>
      </c>
      <c r="C14" s="2" t="s">
        <v>23</v>
      </c>
      <c r="D14" s="4" t="n">
        <v>480</v>
      </c>
      <c r="E14" s="5" t="n">
        <f aca="false">D14/100</f>
        <v>4.8</v>
      </c>
      <c r="F14" s="3" t="s">
        <v>10</v>
      </c>
      <c r="G14" s="3" t="s">
        <v>10</v>
      </c>
    </row>
    <row r="15" customFormat="false" ht="15" hidden="false" customHeight="false" outlineLevel="0" collapsed="false">
      <c r="A15" s="2" t="s">
        <v>7</v>
      </c>
      <c r="B15" s="3" t="s">
        <v>8</v>
      </c>
      <c r="C15" s="2" t="s">
        <v>24</v>
      </c>
      <c r="D15" s="4" t="n">
        <v>30</v>
      </c>
      <c r="E15" s="5" t="n">
        <f aca="false">D15/100</f>
        <v>0.3</v>
      </c>
      <c r="F15" s="3" t="s">
        <v>10</v>
      </c>
      <c r="G15" s="3" t="s">
        <v>10</v>
      </c>
    </row>
    <row r="16" customFormat="false" ht="15" hidden="false" customHeight="false" outlineLevel="0" collapsed="false">
      <c r="A16" s="2" t="s">
        <v>7</v>
      </c>
      <c r="B16" s="3" t="s">
        <v>8</v>
      </c>
      <c r="C16" s="2" t="s">
        <v>25</v>
      </c>
      <c r="D16" s="4" t="n">
        <v>220</v>
      </c>
      <c r="E16" s="5" t="n">
        <f aca="false">D16/100</f>
        <v>2.2</v>
      </c>
      <c r="F16" s="3" t="s">
        <v>13</v>
      </c>
      <c r="G16" s="3" t="s">
        <v>10</v>
      </c>
    </row>
    <row r="17" customFormat="false" ht="15" hidden="false" customHeight="false" outlineLevel="0" collapsed="false">
      <c r="A17" s="2" t="s">
        <v>7</v>
      </c>
      <c r="B17" s="3" t="s">
        <v>8</v>
      </c>
      <c r="C17" s="2" t="s">
        <v>26</v>
      </c>
      <c r="D17" s="4" t="n">
        <v>30</v>
      </c>
      <c r="E17" s="5" t="n">
        <f aca="false">D17/100</f>
        <v>0.3</v>
      </c>
      <c r="F17" s="3" t="s">
        <v>10</v>
      </c>
      <c r="G17" s="3" t="s">
        <v>10</v>
      </c>
    </row>
    <row r="18" customFormat="false" ht="15" hidden="false" customHeight="false" outlineLevel="0" collapsed="false">
      <c r="A18" s="2" t="s">
        <v>27</v>
      </c>
      <c r="B18" s="3" t="s">
        <v>28</v>
      </c>
      <c r="C18" s="2" t="s">
        <v>29</v>
      </c>
      <c r="D18" s="4" t="n">
        <v>400</v>
      </c>
      <c r="E18" s="5" t="n">
        <f aca="false">D18/100</f>
        <v>4</v>
      </c>
      <c r="F18" s="3" t="s">
        <v>10</v>
      </c>
      <c r="G18" s="3" t="s">
        <v>10</v>
      </c>
    </row>
    <row r="19" customFormat="false" ht="15" hidden="false" customHeight="false" outlineLevel="0" collapsed="false">
      <c r="A19" s="2" t="s">
        <v>27</v>
      </c>
      <c r="B19" s="3" t="s">
        <v>28</v>
      </c>
      <c r="C19" s="2" t="s">
        <v>30</v>
      </c>
      <c r="D19" s="4" t="n">
        <v>30</v>
      </c>
      <c r="E19" s="5" t="n">
        <f aca="false">D19/100</f>
        <v>0.3</v>
      </c>
      <c r="F19" s="3" t="s">
        <v>10</v>
      </c>
      <c r="G19" s="3" t="s">
        <v>10</v>
      </c>
    </row>
    <row r="20" customFormat="false" ht="15" hidden="false" customHeight="false" outlineLevel="0" collapsed="false">
      <c r="A20" s="2" t="s">
        <v>27</v>
      </c>
      <c r="B20" s="3" t="s">
        <v>28</v>
      </c>
      <c r="C20" s="2" t="s">
        <v>31</v>
      </c>
      <c r="D20" s="4" t="n">
        <v>380</v>
      </c>
      <c r="E20" s="5" t="n">
        <f aca="false">D20/100</f>
        <v>3.8</v>
      </c>
      <c r="F20" s="3" t="s">
        <v>10</v>
      </c>
      <c r="G20" s="3" t="s">
        <v>10</v>
      </c>
    </row>
    <row r="21" customFormat="false" ht="15" hidden="false" customHeight="false" outlineLevel="0" collapsed="false">
      <c r="A21" s="2" t="s">
        <v>27</v>
      </c>
      <c r="B21" s="3" t="s">
        <v>28</v>
      </c>
      <c r="C21" s="2" t="s">
        <v>32</v>
      </c>
      <c r="D21" s="4" t="n">
        <v>1650</v>
      </c>
      <c r="E21" s="5" t="n">
        <f aca="false">D21/100</f>
        <v>16.5</v>
      </c>
      <c r="F21" s="3" t="s">
        <v>10</v>
      </c>
      <c r="G21" s="3" t="s">
        <v>10</v>
      </c>
    </row>
    <row r="22" customFormat="false" ht="15" hidden="false" customHeight="false" outlineLevel="0" collapsed="false">
      <c r="A22" s="2" t="s">
        <v>27</v>
      </c>
      <c r="B22" s="3" t="s">
        <v>28</v>
      </c>
      <c r="C22" s="2" t="s">
        <v>33</v>
      </c>
      <c r="D22" s="4" t="n">
        <v>75</v>
      </c>
      <c r="E22" s="5" t="n">
        <f aca="false">D22/100</f>
        <v>0.75</v>
      </c>
      <c r="F22" s="3" t="s">
        <v>13</v>
      </c>
      <c r="G22" s="3" t="s">
        <v>10</v>
      </c>
    </row>
    <row r="23" customFormat="false" ht="15" hidden="false" customHeight="false" outlineLevel="0" collapsed="false">
      <c r="A23" s="2" t="s">
        <v>27</v>
      </c>
      <c r="B23" s="3" t="s">
        <v>28</v>
      </c>
      <c r="C23" s="2" t="s">
        <v>34</v>
      </c>
      <c r="D23" s="4" t="n">
        <v>50</v>
      </c>
      <c r="E23" s="5" t="n">
        <f aca="false">D23/100</f>
        <v>0.5</v>
      </c>
      <c r="F23" s="3" t="s">
        <v>10</v>
      </c>
      <c r="G23" s="3" t="s">
        <v>10</v>
      </c>
    </row>
    <row r="24" customFormat="false" ht="15" hidden="false" customHeight="false" outlineLevel="0" collapsed="false">
      <c r="A24" s="2" t="s">
        <v>27</v>
      </c>
      <c r="B24" s="3" t="s">
        <v>28</v>
      </c>
      <c r="C24" s="2" t="s">
        <v>35</v>
      </c>
      <c r="D24" s="4" t="n">
        <v>1400</v>
      </c>
      <c r="E24" s="5" t="n">
        <f aca="false">D24/100</f>
        <v>14</v>
      </c>
      <c r="F24" s="3" t="s">
        <v>10</v>
      </c>
      <c r="G24" s="3" t="s">
        <v>10</v>
      </c>
    </row>
    <row r="25" customFormat="false" ht="15" hidden="false" customHeight="false" outlineLevel="0" collapsed="false">
      <c r="A25" s="2" t="s">
        <v>27</v>
      </c>
      <c r="B25" s="3" t="s">
        <v>28</v>
      </c>
      <c r="C25" s="2" t="s">
        <v>36</v>
      </c>
      <c r="D25" s="4" t="n">
        <v>1325</v>
      </c>
      <c r="E25" s="5" t="n">
        <f aca="false">D25/100</f>
        <v>13.25</v>
      </c>
      <c r="F25" s="3" t="s">
        <v>10</v>
      </c>
      <c r="G25" s="3" t="s">
        <v>10</v>
      </c>
    </row>
    <row r="26" customFormat="false" ht="15" hidden="false" customHeight="false" outlineLevel="0" collapsed="false">
      <c r="A26" s="2" t="s">
        <v>27</v>
      </c>
      <c r="B26" s="3" t="s">
        <v>28</v>
      </c>
      <c r="C26" s="2" t="s">
        <v>37</v>
      </c>
      <c r="D26" s="4" t="n">
        <v>40</v>
      </c>
      <c r="E26" s="5" t="n">
        <f aca="false">D26/100</f>
        <v>0.4</v>
      </c>
      <c r="F26" s="3" t="s">
        <v>10</v>
      </c>
      <c r="G26" s="3" t="s">
        <v>10</v>
      </c>
    </row>
    <row r="27" customFormat="false" ht="15" hidden="false" customHeight="false" outlineLevel="0" collapsed="false">
      <c r="A27" s="2" t="s">
        <v>27</v>
      </c>
      <c r="B27" s="3" t="s">
        <v>28</v>
      </c>
      <c r="C27" s="2" t="s">
        <v>38</v>
      </c>
      <c r="D27" s="4" t="n">
        <v>1175</v>
      </c>
      <c r="E27" s="5" t="n">
        <f aca="false">D27/100</f>
        <v>11.75</v>
      </c>
      <c r="F27" s="3" t="s">
        <v>13</v>
      </c>
      <c r="G27" s="3" t="s">
        <v>10</v>
      </c>
    </row>
    <row r="28" customFormat="false" ht="15" hidden="false" customHeight="false" outlineLevel="0" collapsed="false">
      <c r="A28" s="2" t="s">
        <v>27</v>
      </c>
      <c r="B28" s="3" t="s">
        <v>28</v>
      </c>
      <c r="C28" s="2" t="s">
        <v>39</v>
      </c>
      <c r="D28" s="4" t="n">
        <v>800</v>
      </c>
      <c r="E28" s="5" t="n">
        <f aca="false">D28/100</f>
        <v>8</v>
      </c>
      <c r="F28" s="3" t="s">
        <v>10</v>
      </c>
      <c r="G28" s="3" t="s">
        <v>10</v>
      </c>
    </row>
    <row r="29" customFormat="false" ht="15" hidden="false" customHeight="false" outlineLevel="0" collapsed="false">
      <c r="A29" s="2" t="s">
        <v>27</v>
      </c>
      <c r="B29" s="3" t="s">
        <v>28</v>
      </c>
      <c r="C29" s="2" t="s">
        <v>40</v>
      </c>
      <c r="D29" s="4" t="n">
        <v>420</v>
      </c>
      <c r="E29" s="5" t="n">
        <f aca="false">D29/100</f>
        <v>4.2</v>
      </c>
      <c r="F29" s="3" t="s">
        <v>10</v>
      </c>
      <c r="G29" s="3" t="s">
        <v>13</v>
      </c>
    </row>
    <row r="30" customFormat="false" ht="15" hidden="false" customHeight="false" outlineLevel="0" collapsed="false">
      <c r="A30" s="2" t="s">
        <v>27</v>
      </c>
      <c r="B30" s="3" t="s">
        <v>28</v>
      </c>
      <c r="C30" s="2" t="s">
        <v>41</v>
      </c>
      <c r="D30" s="4" t="n">
        <v>95</v>
      </c>
      <c r="E30" s="5" t="n">
        <f aca="false">D30/100</f>
        <v>0.95</v>
      </c>
      <c r="F30" s="3" t="s">
        <v>10</v>
      </c>
      <c r="G30" s="3" t="s">
        <v>10</v>
      </c>
    </row>
    <row r="31" customFormat="false" ht="15" hidden="false" customHeight="false" outlineLevel="0" collapsed="false">
      <c r="A31" s="2" t="s">
        <v>27</v>
      </c>
      <c r="B31" s="3" t="s">
        <v>28</v>
      </c>
      <c r="C31" s="2" t="s">
        <v>42</v>
      </c>
      <c r="D31" s="4" t="n">
        <v>1075</v>
      </c>
      <c r="E31" s="5" t="n">
        <f aca="false">D31/100</f>
        <v>10.75</v>
      </c>
      <c r="F31" s="3" t="s">
        <v>10</v>
      </c>
      <c r="G31" s="3" t="s">
        <v>10</v>
      </c>
    </row>
    <row r="32" customFormat="false" ht="15" hidden="false" customHeight="false" outlineLevel="0" collapsed="false">
      <c r="A32" s="2" t="s">
        <v>27</v>
      </c>
      <c r="B32" s="3" t="s">
        <v>28</v>
      </c>
      <c r="C32" s="2" t="s">
        <v>43</v>
      </c>
      <c r="D32" s="4" t="n">
        <v>30</v>
      </c>
      <c r="E32" s="5" t="n">
        <f aca="false">D32/100</f>
        <v>0.3</v>
      </c>
      <c r="F32" s="3" t="s">
        <v>10</v>
      </c>
      <c r="G32" s="3" t="s">
        <v>10</v>
      </c>
    </row>
    <row r="33" customFormat="false" ht="15" hidden="false" customHeight="false" outlineLevel="0" collapsed="false">
      <c r="A33" s="2" t="s">
        <v>27</v>
      </c>
      <c r="B33" s="3" t="s">
        <v>28</v>
      </c>
      <c r="C33" s="2" t="s">
        <v>44</v>
      </c>
      <c r="D33" s="4" t="n">
        <v>1000</v>
      </c>
      <c r="E33" s="5" t="n">
        <f aca="false">D33/100</f>
        <v>10</v>
      </c>
      <c r="F33" s="3" t="s">
        <v>13</v>
      </c>
      <c r="G33" s="3" t="s">
        <v>10</v>
      </c>
    </row>
    <row r="34" customFormat="false" ht="15" hidden="false" customHeight="false" outlineLevel="0" collapsed="false">
      <c r="A34" s="2" t="s">
        <v>27</v>
      </c>
      <c r="B34" s="3" t="s">
        <v>28</v>
      </c>
      <c r="C34" s="2" t="s">
        <v>45</v>
      </c>
      <c r="D34" s="4" t="n">
        <v>50</v>
      </c>
      <c r="E34" s="5" t="n">
        <f aca="false">D34/100</f>
        <v>0.5</v>
      </c>
      <c r="F34" s="3" t="s">
        <v>10</v>
      </c>
      <c r="G34" s="3" t="s">
        <v>10</v>
      </c>
    </row>
    <row r="35" customFormat="false" ht="15" hidden="false" customHeight="false" outlineLevel="0" collapsed="false">
      <c r="A35" s="2" t="s">
        <v>46</v>
      </c>
      <c r="B35" s="3" t="s">
        <v>47</v>
      </c>
      <c r="C35" s="2" t="s">
        <v>48</v>
      </c>
      <c r="D35" s="4" t="n">
        <v>30</v>
      </c>
      <c r="E35" s="5" t="n">
        <f aca="false">D35/100</f>
        <v>0.3</v>
      </c>
      <c r="F35" s="3" t="s">
        <v>10</v>
      </c>
      <c r="G35" s="3" t="s">
        <v>10</v>
      </c>
    </row>
    <row r="36" customFormat="false" ht="15" hidden="false" customHeight="false" outlineLevel="0" collapsed="false">
      <c r="A36" s="2" t="s">
        <v>46</v>
      </c>
      <c r="B36" s="3" t="s">
        <v>47</v>
      </c>
      <c r="C36" s="2" t="s">
        <v>49</v>
      </c>
      <c r="D36" s="4" t="n">
        <v>200</v>
      </c>
      <c r="E36" s="5" t="n">
        <f aca="false">D36/100</f>
        <v>2</v>
      </c>
      <c r="F36" s="3" t="s">
        <v>13</v>
      </c>
      <c r="G36" s="3" t="s">
        <v>10</v>
      </c>
    </row>
    <row r="37" customFormat="false" ht="15" hidden="false" customHeight="false" outlineLevel="0" collapsed="false">
      <c r="A37" s="2" t="s">
        <v>46</v>
      </c>
      <c r="B37" s="3" t="s">
        <v>47</v>
      </c>
      <c r="C37" s="2" t="s">
        <v>50</v>
      </c>
      <c r="D37" s="4" t="n">
        <v>130</v>
      </c>
      <c r="E37" s="5" t="n">
        <f aca="false">D37/100</f>
        <v>1.3</v>
      </c>
      <c r="F37" s="3" t="s">
        <v>10</v>
      </c>
      <c r="G37" s="3" t="s">
        <v>10</v>
      </c>
    </row>
    <row r="38" customFormat="false" ht="15" hidden="false" customHeight="false" outlineLevel="0" collapsed="false">
      <c r="A38" s="2" t="s">
        <v>46</v>
      </c>
      <c r="B38" s="3" t="s">
        <v>47</v>
      </c>
      <c r="C38" s="2" t="s">
        <v>51</v>
      </c>
      <c r="D38" s="4" t="n">
        <v>75</v>
      </c>
      <c r="E38" s="5" t="n">
        <f aca="false">D38/100</f>
        <v>0.75</v>
      </c>
      <c r="F38" s="3" t="s">
        <v>10</v>
      </c>
      <c r="G38" s="3" t="s">
        <v>10</v>
      </c>
    </row>
    <row r="39" customFormat="false" ht="15" hidden="false" customHeight="false" outlineLevel="0" collapsed="false">
      <c r="A39" s="2" t="s">
        <v>46</v>
      </c>
      <c r="B39" s="3" t="s">
        <v>47</v>
      </c>
      <c r="C39" s="2" t="s">
        <v>52</v>
      </c>
      <c r="D39" s="4" t="n">
        <v>75</v>
      </c>
      <c r="E39" s="5" t="n">
        <f aca="false">D39/100</f>
        <v>0.75</v>
      </c>
      <c r="F39" s="3" t="s">
        <v>10</v>
      </c>
      <c r="G39" s="3" t="s">
        <v>10</v>
      </c>
    </row>
    <row r="40" customFormat="false" ht="15" hidden="false" customHeight="false" outlineLevel="0" collapsed="false">
      <c r="A40" s="2" t="s">
        <v>46</v>
      </c>
      <c r="B40" s="3" t="s">
        <v>47</v>
      </c>
      <c r="C40" s="2" t="s">
        <v>53</v>
      </c>
      <c r="D40" s="4" t="n">
        <v>1575</v>
      </c>
      <c r="E40" s="5" t="n">
        <f aca="false">D40/100</f>
        <v>15.75</v>
      </c>
      <c r="F40" s="3" t="s">
        <v>13</v>
      </c>
      <c r="G40" s="3" t="s">
        <v>10</v>
      </c>
    </row>
    <row r="41" customFormat="false" ht="15" hidden="false" customHeight="false" outlineLevel="0" collapsed="false">
      <c r="A41" s="2" t="s">
        <v>46</v>
      </c>
      <c r="B41" s="3" t="s">
        <v>47</v>
      </c>
      <c r="C41" s="2" t="s">
        <v>54</v>
      </c>
      <c r="D41" s="4" t="n">
        <v>1075</v>
      </c>
      <c r="E41" s="5" t="n">
        <f aca="false">D41/100</f>
        <v>10.75</v>
      </c>
      <c r="F41" s="3" t="s">
        <v>13</v>
      </c>
      <c r="G41" s="3" t="s">
        <v>10</v>
      </c>
    </row>
    <row r="42" customFormat="false" ht="15" hidden="false" customHeight="false" outlineLevel="0" collapsed="false">
      <c r="A42" s="2" t="s">
        <v>46</v>
      </c>
      <c r="B42" s="3" t="s">
        <v>47</v>
      </c>
      <c r="C42" s="2" t="s">
        <v>55</v>
      </c>
      <c r="D42" s="4" t="n">
        <v>65</v>
      </c>
      <c r="E42" s="5" t="n">
        <f aca="false">D42/100</f>
        <v>0.65</v>
      </c>
      <c r="F42" s="3" t="s">
        <v>10</v>
      </c>
      <c r="G42" s="3" t="s">
        <v>10</v>
      </c>
    </row>
    <row r="43" customFormat="false" ht="15" hidden="false" customHeight="false" outlineLevel="0" collapsed="false">
      <c r="A43" s="2" t="s">
        <v>46</v>
      </c>
      <c r="B43" s="3" t="s">
        <v>47</v>
      </c>
      <c r="C43" s="2" t="s">
        <v>56</v>
      </c>
      <c r="D43" s="4" t="n">
        <v>30</v>
      </c>
      <c r="E43" s="5" t="n">
        <f aca="false">D43/100</f>
        <v>0.3</v>
      </c>
      <c r="F43" s="3" t="s">
        <v>10</v>
      </c>
      <c r="G43" s="3" t="s">
        <v>10</v>
      </c>
    </row>
    <row r="44" customFormat="false" ht="15" hidden="false" customHeight="false" outlineLevel="0" collapsed="false">
      <c r="A44" s="2" t="s">
        <v>46</v>
      </c>
      <c r="B44" s="3" t="s">
        <v>47</v>
      </c>
      <c r="C44" s="2" t="s">
        <v>57</v>
      </c>
      <c r="D44" s="4" t="n">
        <v>1225</v>
      </c>
      <c r="E44" s="5" t="n">
        <f aca="false">D44/100</f>
        <v>12.25</v>
      </c>
      <c r="F44" s="3" t="s">
        <v>10</v>
      </c>
      <c r="G44" s="3" t="s">
        <v>10</v>
      </c>
    </row>
    <row r="45" customFormat="false" ht="15" hidden="false" customHeight="false" outlineLevel="0" collapsed="false">
      <c r="A45" s="2" t="s">
        <v>46</v>
      </c>
      <c r="B45" s="3" t="s">
        <v>47</v>
      </c>
      <c r="C45" s="2" t="s">
        <v>58</v>
      </c>
      <c r="D45" s="4" t="n">
        <v>130</v>
      </c>
      <c r="E45" s="5" t="n">
        <f aca="false">D45/100</f>
        <v>1.3</v>
      </c>
      <c r="F45" s="3" t="s">
        <v>10</v>
      </c>
      <c r="G45" s="3" t="s">
        <v>10</v>
      </c>
    </row>
    <row r="46" customFormat="false" ht="15" hidden="false" customHeight="false" outlineLevel="0" collapsed="false">
      <c r="A46" s="2" t="s">
        <v>46</v>
      </c>
      <c r="B46" s="3" t="s">
        <v>47</v>
      </c>
      <c r="C46" s="2" t="s">
        <v>59</v>
      </c>
      <c r="D46" s="4" t="n">
        <v>30</v>
      </c>
      <c r="E46" s="5" t="n">
        <f aca="false">D46/100</f>
        <v>0.3</v>
      </c>
      <c r="F46" s="3" t="s">
        <v>10</v>
      </c>
      <c r="G46" s="3" t="s">
        <v>10</v>
      </c>
    </row>
    <row r="47" customFormat="false" ht="15" hidden="false" customHeight="false" outlineLevel="0" collapsed="false">
      <c r="A47" s="2" t="s">
        <v>46</v>
      </c>
      <c r="B47" s="3" t="s">
        <v>47</v>
      </c>
      <c r="C47" s="2" t="s">
        <v>60</v>
      </c>
      <c r="D47" s="4" t="n">
        <v>950</v>
      </c>
      <c r="E47" s="5" t="n">
        <f aca="false">D47/100</f>
        <v>9.5</v>
      </c>
      <c r="F47" s="3" t="s">
        <v>10</v>
      </c>
      <c r="G47" s="3" t="s">
        <v>10</v>
      </c>
    </row>
    <row r="48" customFormat="false" ht="15" hidden="false" customHeight="false" outlineLevel="0" collapsed="false">
      <c r="A48" s="2" t="s">
        <v>46</v>
      </c>
      <c r="B48" s="3" t="s">
        <v>47</v>
      </c>
      <c r="C48" s="2" t="s">
        <v>61</v>
      </c>
      <c r="D48" s="4" t="n">
        <v>200</v>
      </c>
      <c r="E48" s="5" t="n">
        <f aca="false">D48/100</f>
        <v>2</v>
      </c>
      <c r="F48" s="3" t="s">
        <v>10</v>
      </c>
      <c r="G48" s="3" t="s">
        <v>10</v>
      </c>
    </row>
    <row r="49" customFormat="false" ht="15" hidden="false" customHeight="false" outlineLevel="0" collapsed="false">
      <c r="A49" s="2" t="s">
        <v>46</v>
      </c>
      <c r="B49" s="3" t="s">
        <v>47</v>
      </c>
      <c r="C49" s="2" t="s">
        <v>62</v>
      </c>
      <c r="D49" s="4" t="n">
        <v>400</v>
      </c>
      <c r="E49" s="5" t="n">
        <f aca="false">D49/100</f>
        <v>4</v>
      </c>
      <c r="F49" s="3" t="s">
        <v>10</v>
      </c>
      <c r="G49" s="3" t="s">
        <v>10</v>
      </c>
    </row>
    <row r="50" customFormat="false" ht="15" hidden="false" customHeight="false" outlineLevel="0" collapsed="false">
      <c r="A50" s="2" t="s">
        <v>46</v>
      </c>
      <c r="B50" s="3" t="s">
        <v>47</v>
      </c>
      <c r="C50" s="2" t="s">
        <v>63</v>
      </c>
      <c r="D50" s="4" t="n">
        <v>1800</v>
      </c>
      <c r="E50" s="5" t="n">
        <f aca="false">D50/100</f>
        <v>18</v>
      </c>
      <c r="F50" s="3" t="s">
        <v>13</v>
      </c>
      <c r="G50" s="3" t="s">
        <v>10</v>
      </c>
    </row>
    <row r="51" customFormat="false" ht="15" hidden="false" customHeight="false" outlineLevel="0" collapsed="false">
      <c r="A51" s="2" t="s">
        <v>46</v>
      </c>
      <c r="B51" s="3" t="s">
        <v>47</v>
      </c>
      <c r="C51" s="2" t="s">
        <v>64</v>
      </c>
      <c r="D51" s="4" t="n">
        <v>850</v>
      </c>
      <c r="E51" s="5" t="n">
        <f aca="false">D51/100</f>
        <v>8.5</v>
      </c>
      <c r="F51" s="3" t="s">
        <v>10</v>
      </c>
      <c r="G51" s="3" t="s">
        <v>10</v>
      </c>
    </row>
    <row r="52" customFormat="false" ht="15" hidden="false" customHeight="false" outlineLevel="0" collapsed="false">
      <c r="A52" s="2" t="s">
        <v>46</v>
      </c>
      <c r="B52" s="3" t="s">
        <v>47</v>
      </c>
      <c r="C52" s="2" t="s">
        <v>65</v>
      </c>
      <c r="D52" s="4" t="n">
        <v>400</v>
      </c>
      <c r="E52" s="5" t="n">
        <f aca="false">D52/100</f>
        <v>4</v>
      </c>
      <c r="F52" s="3" t="s">
        <v>10</v>
      </c>
      <c r="G52" s="3" t="s">
        <v>10</v>
      </c>
    </row>
    <row r="53" customFormat="false" ht="15" hidden="false" customHeight="false" outlineLevel="0" collapsed="false">
      <c r="A53" s="2" t="s">
        <v>46</v>
      </c>
      <c r="B53" s="3" t="s">
        <v>47</v>
      </c>
      <c r="C53" s="2" t="s">
        <v>66</v>
      </c>
      <c r="D53" s="4" t="n">
        <v>1650</v>
      </c>
      <c r="E53" s="5" t="n">
        <f aca="false">D53/100</f>
        <v>16.5</v>
      </c>
      <c r="F53" s="3" t="s">
        <v>10</v>
      </c>
      <c r="G53" s="3" t="s">
        <v>10</v>
      </c>
    </row>
    <row r="54" customFormat="false" ht="15" hidden="false" customHeight="false" outlineLevel="0" collapsed="false">
      <c r="A54" s="2" t="s">
        <v>46</v>
      </c>
      <c r="B54" s="3" t="s">
        <v>47</v>
      </c>
      <c r="C54" s="2" t="s">
        <v>67</v>
      </c>
      <c r="D54" s="4" t="n">
        <v>320</v>
      </c>
      <c r="E54" s="5" t="n">
        <f aca="false">D54/100</f>
        <v>3.2</v>
      </c>
      <c r="F54" s="3" t="s">
        <v>10</v>
      </c>
      <c r="G54" s="3" t="s">
        <v>10</v>
      </c>
    </row>
    <row r="55" customFormat="false" ht="15" hidden="false" customHeight="false" outlineLevel="0" collapsed="false">
      <c r="A55" s="2" t="s">
        <v>68</v>
      </c>
      <c r="B55" s="3" t="s">
        <v>69</v>
      </c>
      <c r="C55" s="2" t="s">
        <v>70</v>
      </c>
      <c r="D55" s="4" t="n">
        <v>150</v>
      </c>
      <c r="E55" s="5" t="n">
        <f aca="false">D55/100</f>
        <v>1.5</v>
      </c>
      <c r="F55" s="3" t="s">
        <v>10</v>
      </c>
      <c r="G55" s="3" t="s">
        <v>10</v>
      </c>
    </row>
    <row r="56" customFormat="false" ht="15" hidden="false" customHeight="false" outlineLevel="0" collapsed="false">
      <c r="A56" s="2" t="s">
        <v>68</v>
      </c>
      <c r="B56" s="3" t="s">
        <v>69</v>
      </c>
      <c r="C56" s="2" t="s">
        <v>71</v>
      </c>
      <c r="D56" s="4" t="n">
        <v>300</v>
      </c>
      <c r="E56" s="5" t="n">
        <f aca="false">D56/100</f>
        <v>3</v>
      </c>
      <c r="F56" s="3" t="s">
        <v>10</v>
      </c>
      <c r="G56" s="3" t="s">
        <v>10</v>
      </c>
    </row>
    <row r="57" customFormat="false" ht="15" hidden="false" customHeight="false" outlineLevel="0" collapsed="false">
      <c r="A57" s="2" t="s">
        <v>68</v>
      </c>
      <c r="B57" s="3" t="s">
        <v>69</v>
      </c>
      <c r="C57" s="2" t="s">
        <v>72</v>
      </c>
      <c r="D57" s="4" t="n">
        <v>40</v>
      </c>
      <c r="E57" s="5" t="n">
        <f aca="false">D57/100</f>
        <v>0.4</v>
      </c>
      <c r="F57" s="3" t="s">
        <v>10</v>
      </c>
      <c r="G57" s="3" t="s">
        <v>10</v>
      </c>
    </row>
    <row r="58" customFormat="false" ht="15" hidden="false" customHeight="false" outlineLevel="0" collapsed="false">
      <c r="A58" s="2" t="s">
        <v>68</v>
      </c>
      <c r="B58" s="3" t="s">
        <v>69</v>
      </c>
      <c r="C58" s="2" t="s">
        <v>73</v>
      </c>
      <c r="D58" s="4" t="n">
        <v>400</v>
      </c>
      <c r="E58" s="5" t="n">
        <f aca="false">D58/100</f>
        <v>4</v>
      </c>
      <c r="F58" s="3" t="s">
        <v>10</v>
      </c>
      <c r="G58" s="3" t="s">
        <v>10</v>
      </c>
    </row>
    <row r="59" customFormat="false" ht="15" hidden="false" customHeight="false" outlineLevel="0" collapsed="false">
      <c r="A59" s="2" t="s">
        <v>68</v>
      </c>
      <c r="B59" s="3" t="s">
        <v>69</v>
      </c>
      <c r="C59" s="2" t="s">
        <v>74</v>
      </c>
      <c r="D59" s="4" t="n">
        <v>75</v>
      </c>
      <c r="E59" s="5" t="n">
        <f aca="false">D59/100</f>
        <v>0.75</v>
      </c>
      <c r="F59" s="3" t="s">
        <v>10</v>
      </c>
      <c r="G59" s="3" t="s">
        <v>10</v>
      </c>
    </row>
    <row r="60" customFormat="false" ht="15" hidden="false" customHeight="false" outlineLevel="0" collapsed="false">
      <c r="A60" s="2" t="s">
        <v>68</v>
      </c>
      <c r="B60" s="3" t="s">
        <v>69</v>
      </c>
      <c r="C60" s="2" t="s">
        <v>75</v>
      </c>
      <c r="D60" s="4" t="n">
        <v>400</v>
      </c>
      <c r="E60" s="5" t="n">
        <f aca="false">D60/100</f>
        <v>4</v>
      </c>
      <c r="F60" s="3" t="s">
        <v>10</v>
      </c>
      <c r="G60" s="3" t="s">
        <v>10</v>
      </c>
    </row>
    <row r="61" customFormat="false" ht="15" hidden="false" customHeight="false" outlineLevel="0" collapsed="false">
      <c r="A61" s="2" t="s">
        <v>68</v>
      </c>
      <c r="B61" s="3" t="s">
        <v>69</v>
      </c>
      <c r="C61" s="2" t="s">
        <v>76</v>
      </c>
      <c r="D61" s="4" t="n">
        <v>1300</v>
      </c>
      <c r="E61" s="5" t="n">
        <f aca="false">D61/100</f>
        <v>13</v>
      </c>
      <c r="F61" s="3" t="s">
        <v>10</v>
      </c>
      <c r="G61" s="3" t="s">
        <v>10</v>
      </c>
    </row>
    <row r="62" customFormat="false" ht="15" hidden="false" customHeight="false" outlineLevel="0" collapsed="false">
      <c r="A62" s="2" t="s">
        <v>68</v>
      </c>
      <c r="B62" s="3" t="s">
        <v>69</v>
      </c>
      <c r="C62" s="2" t="s">
        <v>77</v>
      </c>
      <c r="D62" s="4" t="n">
        <v>150</v>
      </c>
      <c r="E62" s="5" t="n">
        <f aca="false">D62/100</f>
        <v>1.5</v>
      </c>
      <c r="F62" s="3" t="s">
        <v>13</v>
      </c>
      <c r="G62" s="3" t="s">
        <v>10</v>
      </c>
    </row>
    <row r="63" customFormat="false" ht="15" hidden="false" customHeight="false" outlineLevel="0" collapsed="false">
      <c r="A63" s="2" t="s">
        <v>68</v>
      </c>
      <c r="B63" s="3" t="s">
        <v>69</v>
      </c>
      <c r="C63" s="2" t="s">
        <v>78</v>
      </c>
      <c r="D63" s="4" t="n">
        <v>1200</v>
      </c>
      <c r="E63" s="5" t="n">
        <f aca="false">D63/100</f>
        <v>12</v>
      </c>
      <c r="F63" s="3" t="s">
        <v>13</v>
      </c>
      <c r="G63" s="3" t="s">
        <v>10</v>
      </c>
    </row>
    <row r="64" customFormat="false" ht="15" hidden="false" customHeight="false" outlineLevel="0" collapsed="false">
      <c r="A64" s="2" t="s">
        <v>68</v>
      </c>
      <c r="B64" s="3" t="s">
        <v>69</v>
      </c>
      <c r="C64" s="2" t="s">
        <v>79</v>
      </c>
      <c r="D64" s="4" t="n">
        <v>75</v>
      </c>
      <c r="E64" s="5" t="n">
        <f aca="false">D64/100</f>
        <v>0.75</v>
      </c>
      <c r="F64" s="3" t="s">
        <v>10</v>
      </c>
      <c r="G64" s="3" t="s">
        <v>10</v>
      </c>
    </row>
    <row r="65" customFormat="false" ht="15" hidden="false" customHeight="false" outlineLevel="0" collapsed="false">
      <c r="A65" s="2" t="s">
        <v>68</v>
      </c>
      <c r="B65" s="3" t="s">
        <v>69</v>
      </c>
      <c r="C65" s="2" t="s">
        <v>80</v>
      </c>
      <c r="D65" s="4" t="n">
        <v>180</v>
      </c>
      <c r="E65" s="5" t="n">
        <f aca="false">D65/100</f>
        <v>1.8</v>
      </c>
      <c r="F65" s="3" t="s">
        <v>10</v>
      </c>
      <c r="G65" s="3" t="s">
        <v>10</v>
      </c>
    </row>
    <row r="66" customFormat="false" ht="15" hidden="false" customHeight="false" outlineLevel="0" collapsed="false">
      <c r="A66" s="2" t="s">
        <v>68</v>
      </c>
      <c r="B66" s="3" t="s">
        <v>69</v>
      </c>
      <c r="C66" s="2" t="s">
        <v>81</v>
      </c>
      <c r="D66" s="4" t="n">
        <v>1200</v>
      </c>
      <c r="E66" s="5" t="n">
        <f aca="false">D66/100</f>
        <v>12</v>
      </c>
      <c r="F66" s="3" t="s">
        <v>10</v>
      </c>
      <c r="G66" s="3" t="s">
        <v>10</v>
      </c>
    </row>
    <row r="67" customFormat="false" ht="15" hidden="false" customHeight="false" outlineLevel="0" collapsed="false">
      <c r="A67" s="2" t="s">
        <v>82</v>
      </c>
      <c r="B67" s="3" t="s">
        <v>83</v>
      </c>
      <c r="C67" s="2" t="s">
        <v>84</v>
      </c>
      <c r="D67" s="4" t="n">
        <v>420</v>
      </c>
      <c r="E67" s="5" t="n">
        <f aca="false">D67/100</f>
        <v>4.2</v>
      </c>
      <c r="F67" s="3" t="s">
        <v>10</v>
      </c>
      <c r="G67" s="3" t="s">
        <v>10</v>
      </c>
    </row>
    <row r="68" customFormat="false" ht="15" hidden="false" customHeight="false" outlineLevel="0" collapsed="false">
      <c r="A68" s="2" t="s">
        <v>82</v>
      </c>
      <c r="B68" s="3" t="s">
        <v>83</v>
      </c>
      <c r="C68" s="2" t="s">
        <v>85</v>
      </c>
      <c r="D68" s="4" t="n">
        <v>200</v>
      </c>
      <c r="E68" s="5" t="n">
        <f aca="false">D68/100</f>
        <v>2</v>
      </c>
      <c r="F68" s="3" t="s">
        <v>13</v>
      </c>
      <c r="G68" s="3" t="s">
        <v>10</v>
      </c>
    </row>
    <row r="69" customFormat="false" ht="15" hidden="false" customHeight="false" outlineLevel="0" collapsed="false">
      <c r="A69" s="2" t="s">
        <v>82</v>
      </c>
      <c r="B69" s="3" t="s">
        <v>83</v>
      </c>
      <c r="C69" s="2" t="s">
        <v>86</v>
      </c>
      <c r="D69" s="4" t="n">
        <v>30</v>
      </c>
      <c r="E69" s="5" t="n">
        <f aca="false">D69/100</f>
        <v>0.3</v>
      </c>
      <c r="F69" s="3" t="s">
        <v>10</v>
      </c>
      <c r="G69" s="3" t="s">
        <v>10</v>
      </c>
    </row>
    <row r="70" customFormat="false" ht="15" hidden="false" customHeight="false" outlineLevel="0" collapsed="false">
      <c r="A70" s="2" t="s">
        <v>82</v>
      </c>
      <c r="B70" s="3" t="s">
        <v>83</v>
      </c>
      <c r="C70" s="2" t="s">
        <v>87</v>
      </c>
      <c r="D70" s="4" t="n">
        <v>30</v>
      </c>
      <c r="E70" s="5" t="n">
        <f aca="false">D70/100</f>
        <v>0.3</v>
      </c>
      <c r="F70" s="3" t="s">
        <v>10</v>
      </c>
      <c r="G70" s="3" t="s">
        <v>13</v>
      </c>
    </row>
    <row r="71" customFormat="false" ht="15" hidden="false" customHeight="false" outlineLevel="0" collapsed="false">
      <c r="A71" s="2" t="s">
        <v>82</v>
      </c>
      <c r="B71" s="3" t="s">
        <v>83</v>
      </c>
      <c r="C71" s="2" t="s">
        <v>88</v>
      </c>
      <c r="D71" s="4" t="n">
        <v>30</v>
      </c>
      <c r="E71" s="5" t="n">
        <f aca="false">D71/100</f>
        <v>0.3</v>
      </c>
      <c r="F71" s="3" t="s">
        <v>10</v>
      </c>
      <c r="G71" s="3" t="s">
        <v>10</v>
      </c>
    </row>
    <row r="72" customFormat="false" ht="15" hidden="false" customHeight="false" outlineLevel="0" collapsed="false">
      <c r="A72" s="2" t="s">
        <v>82</v>
      </c>
      <c r="B72" s="3" t="s">
        <v>83</v>
      </c>
      <c r="C72" s="2" t="s">
        <v>89</v>
      </c>
      <c r="D72" s="4" t="n">
        <v>975</v>
      </c>
      <c r="E72" s="5" t="n">
        <f aca="false">D72/100</f>
        <v>9.75</v>
      </c>
      <c r="F72" s="3" t="s">
        <v>10</v>
      </c>
      <c r="G72" s="3" t="s">
        <v>10</v>
      </c>
    </row>
    <row r="73" customFormat="false" ht="15" hidden="false" customHeight="false" outlineLevel="0" collapsed="false">
      <c r="A73" s="2" t="s">
        <v>82</v>
      </c>
      <c r="B73" s="3" t="s">
        <v>83</v>
      </c>
      <c r="C73" s="2" t="s">
        <v>90</v>
      </c>
      <c r="D73" s="4" t="n">
        <v>400</v>
      </c>
      <c r="E73" s="5" t="n">
        <f aca="false">D73/100</f>
        <v>4</v>
      </c>
      <c r="F73" s="3" t="s">
        <v>10</v>
      </c>
      <c r="G73" s="3" t="s">
        <v>10</v>
      </c>
    </row>
    <row r="74" customFormat="false" ht="15" hidden="false" customHeight="false" outlineLevel="0" collapsed="false">
      <c r="A74" s="2" t="s">
        <v>82</v>
      </c>
      <c r="B74" s="3" t="s">
        <v>83</v>
      </c>
      <c r="C74" s="2" t="s">
        <v>91</v>
      </c>
      <c r="D74" s="4" t="n">
        <v>30</v>
      </c>
      <c r="E74" s="5" t="n">
        <f aca="false">D74/100</f>
        <v>0.3</v>
      </c>
      <c r="F74" s="3" t="s">
        <v>10</v>
      </c>
      <c r="G74" s="3" t="s">
        <v>10</v>
      </c>
    </row>
    <row r="75" customFormat="false" ht="15" hidden="false" customHeight="false" outlineLevel="0" collapsed="false">
      <c r="A75" s="2" t="s">
        <v>82</v>
      </c>
      <c r="B75" s="3" t="s">
        <v>83</v>
      </c>
      <c r="C75" s="2" t="s">
        <v>92</v>
      </c>
      <c r="D75" s="4" t="n">
        <v>30</v>
      </c>
      <c r="E75" s="5" t="n">
        <f aca="false">D75/100</f>
        <v>0.3</v>
      </c>
      <c r="F75" s="3" t="s">
        <v>10</v>
      </c>
      <c r="G75" s="3" t="s">
        <v>10</v>
      </c>
    </row>
    <row r="76" customFormat="false" ht="15" hidden="false" customHeight="false" outlineLevel="0" collapsed="false">
      <c r="A76" s="2" t="s">
        <v>82</v>
      </c>
      <c r="B76" s="3" t="s">
        <v>83</v>
      </c>
      <c r="C76" s="2" t="s">
        <v>93</v>
      </c>
      <c r="D76" s="4" t="n">
        <v>75</v>
      </c>
      <c r="E76" s="5" t="n">
        <f aca="false">D76/100</f>
        <v>0.75</v>
      </c>
      <c r="F76" s="3" t="s">
        <v>10</v>
      </c>
      <c r="G76" s="3" t="s">
        <v>10</v>
      </c>
    </row>
    <row r="77" customFormat="false" ht="15" hidden="false" customHeight="false" outlineLevel="0" collapsed="false">
      <c r="A77" s="2" t="s">
        <v>82</v>
      </c>
      <c r="B77" s="3" t="s">
        <v>83</v>
      </c>
      <c r="C77" s="2" t="s">
        <v>94</v>
      </c>
      <c r="D77" s="4" t="n">
        <v>75</v>
      </c>
      <c r="E77" s="5" t="n">
        <f aca="false">D77/100</f>
        <v>0.75</v>
      </c>
      <c r="F77" s="3" t="s">
        <v>13</v>
      </c>
      <c r="G77" s="3" t="s">
        <v>10</v>
      </c>
    </row>
    <row r="78" customFormat="false" ht="15" hidden="false" customHeight="false" outlineLevel="0" collapsed="false">
      <c r="A78" s="2" t="s">
        <v>82</v>
      </c>
      <c r="B78" s="3" t="s">
        <v>83</v>
      </c>
      <c r="C78" s="2" t="s">
        <v>95</v>
      </c>
      <c r="D78" s="4" t="n">
        <v>1100</v>
      </c>
      <c r="E78" s="5" t="n">
        <f aca="false">D78/100</f>
        <v>11</v>
      </c>
      <c r="F78" s="3" t="s">
        <v>10</v>
      </c>
      <c r="G78" s="3" t="s">
        <v>10</v>
      </c>
    </row>
    <row r="79" customFormat="false" ht="15" hidden="false" customHeight="false" outlineLevel="0" collapsed="false">
      <c r="A79" s="2" t="s">
        <v>82</v>
      </c>
      <c r="B79" s="3" t="s">
        <v>83</v>
      </c>
      <c r="C79" s="2" t="s">
        <v>96</v>
      </c>
      <c r="D79" s="4" t="n">
        <v>1000</v>
      </c>
      <c r="E79" s="5" t="n">
        <f aca="false">D79/100</f>
        <v>10</v>
      </c>
      <c r="F79" s="3" t="s">
        <v>10</v>
      </c>
      <c r="G79" s="3" t="s">
        <v>13</v>
      </c>
    </row>
    <row r="80" customFormat="false" ht="15" hidden="false" customHeight="false" outlineLevel="0" collapsed="false">
      <c r="A80" s="2" t="s">
        <v>82</v>
      </c>
      <c r="B80" s="3" t="s">
        <v>83</v>
      </c>
      <c r="C80" s="2" t="s">
        <v>97</v>
      </c>
      <c r="D80" s="4" t="n">
        <v>340</v>
      </c>
      <c r="E80" s="5" t="n">
        <f aca="false">D80/100</f>
        <v>3.4</v>
      </c>
      <c r="F80" s="3" t="s">
        <v>13</v>
      </c>
      <c r="G80" s="3" t="s">
        <v>10</v>
      </c>
    </row>
    <row r="81" customFormat="false" ht="15" hidden="false" customHeight="false" outlineLevel="0" collapsed="false">
      <c r="A81" s="2" t="s">
        <v>82</v>
      </c>
      <c r="B81" s="3" t="s">
        <v>83</v>
      </c>
      <c r="C81" s="2" t="s">
        <v>98</v>
      </c>
      <c r="D81" s="4" t="n">
        <v>400</v>
      </c>
      <c r="E81" s="5" t="n">
        <f aca="false">D81/100</f>
        <v>4</v>
      </c>
      <c r="F81" s="3" t="s">
        <v>10</v>
      </c>
      <c r="G81" s="3" t="s">
        <v>10</v>
      </c>
    </row>
    <row r="82" customFormat="false" ht="15" hidden="false" customHeight="false" outlineLevel="0" collapsed="false">
      <c r="A82" s="2" t="s">
        <v>82</v>
      </c>
      <c r="B82" s="3" t="s">
        <v>83</v>
      </c>
      <c r="C82" s="2" t="s">
        <v>99</v>
      </c>
      <c r="D82" s="4" t="n">
        <v>2100</v>
      </c>
      <c r="E82" s="5" t="n">
        <f aca="false">D82/100</f>
        <v>21</v>
      </c>
      <c r="F82" s="3" t="s">
        <v>13</v>
      </c>
      <c r="G82" s="3" t="s">
        <v>10</v>
      </c>
    </row>
    <row r="83" customFormat="false" ht="15" hidden="false" customHeight="false" outlineLevel="0" collapsed="false">
      <c r="A83" s="2" t="s">
        <v>82</v>
      </c>
      <c r="B83" s="3" t="s">
        <v>83</v>
      </c>
      <c r="C83" s="2" t="s">
        <v>100</v>
      </c>
      <c r="D83" s="4" t="n">
        <v>30</v>
      </c>
      <c r="E83" s="5" t="n">
        <f aca="false">D83/100</f>
        <v>0.3</v>
      </c>
      <c r="F83" s="3" t="s">
        <v>10</v>
      </c>
      <c r="G83" s="3" t="s">
        <v>10</v>
      </c>
    </row>
    <row r="84" customFormat="false" ht="15" hidden="false" customHeight="false" outlineLevel="0" collapsed="false">
      <c r="A84" s="2" t="s">
        <v>82</v>
      </c>
      <c r="B84" s="3" t="s">
        <v>83</v>
      </c>
      <c r="C84" s="2" t="s">
        <v>101</v>
      </c>
      <c r="D84" s="4" t="n">
        <v>2700</v>
      </c>
      <c r="E84" s="5" t="n">
        <f aca="false">D84/100</f>
        <v>27</v>
      </c>
      <c r="F84" s="3" t="s">
        <v>10</v>
      </c>
      <c r="G84" s="3" t="s">
        <v>10</v>
      </c>
    </row>
    <row r="85" customFormat="false" ht="15" hidden="false" customHeight="false" outlineLevel="0" collapsed="false">
      <c r="A85" s="2" t="s">
        <v>82</v>
      </c>
      <c r="B85" s="3" t="s">
        <v>83</v>
      </c>
      <c r="C85" s="2" t="s">
        <v>102</v>
      </c>
      <c r="D85" s="4" t="n">
        <v>240</v>
      </c>
      <c r="E85" s="5" t="n">
        <f aca="false">D85/100</f>
        <v>2.4</v>
      </c>
      <c r="F85" s="3" t="s">
        <v>10</v>
      </c>
      <c r="G85" s="3" t="s">
        <v>10</v>
      </c>
    </row>
    <row r="86" customFormat="false" ht="15" hidden="false" customHeight="false" outlineLevel="0" collapsed="false">
      <c r="A86" s="2" t="s">
        <v>103</v>
      </c>
      <c r="B86" s="3" t="s">
        <v>104</v>
      </c>
      <c r="C86" s="2" t="s">
        <v>105</v>
      </c>
      <c r="D86" s="4" t="n">
        <v>480</v>
      </c>
      <c r="E86" s="5" t="n">
        <f aca="false">D86/100</f>
        <v>4.8</v>
      </c>
      <c r="F86" s="3" t="s">
        <v>13</v>
      </c>
      <c r="G86" s="3" t="s">
        <v>10</v>
      </c>
    </row>
    <row r="87" customFormat="false" ht="15" hidden="false" customHeight="false" outlineLevel="0" collapsed="false">
      <c r="A87" s="2" t="s">
        <v>103</v>
      </c>
      <c r="B87" s="3" t="s">
        <v>104</v>
      </c>
      <c r="C87" s="2" t="s">
        <v>106</v>
      </c>
      <c r="D87" s="4" t="n">
        <v>30</v>
      </c>
      <c r="E87" s="5" t="n">
        <f aca="false">D87/100</f>
        <v>0.3</v>
      </c>
      <c r="F87" s="3" t="s">
        <v>10</v>
      </c>
      <c r="G87" s="3" t="s">
        <v>10</v>
      </c>
    </row>
    <row r="88" customFormat="false" ht="15" hidden="false" customHeight="false" outlineLevel="0" collapsed="false">
      <c r="A88" s="2" t="s">
        <v>103</v>
      </c>
      <c r="B88" s="3" t="s">
        <v>104</v>
      </c>
      <c r="C88" s="2" t="s">
        <v>107</v>
      </c>
      <c r="D88" s="4" t="n">
        <v>75</v>
      </c>
      <c r="E88" s="5" t="n">
        <f aca="false">D88/100</f>
        <v>0.75</v>
      </c>
      <c r="F88" s="3" t="s">
        <v>13</v>
      </c>
      <c r="G88" s="3" t="s">
        <v>10</v>
      </c>
    </row>
    <row r="89" customFormat="false" ht="15" hidden="false" customHeight="false" outlineLevel="0" collapsed="false">
      <c r="A89" s="2" t="s">
        <v>103</v>
      </c>
      <c r="B89" s="3" t="s">
        <v>104</v>
      </c>
      <c r="C89" s="2" t="s">
        <v>108</v>
      </c>
      <c r="D89" s="4" t="n">
        <v>925</v>
      </c>
      <c r="E89" s="5" t="n">
        <f aca="false">D89/100</f>
        <v>9.25</v>
      </c>
      <c r="F89" s="3" t="s">
        <v>10</v>
      </c>
      <c r="G89" s="3" t="s">
        <v>10</v>
      </c>
    </row>
    <row r="90" customFormat="false" ht="15" hidden="false" customHeight="false" outlineLevel="0" collapsed="false">
      <c r="A90" s="2" t="s">
        <v>103</v>
      </c>
      <c r="B90" s="3" t="s">
        <v>104</v>
      </c>
      <c r="C90" s="2" t="s">
        <v>109</v>
      </c>
      <c r="D90" s="4" t="n">
        <v>1635</v>
      </c>
      <c r="E90" s="5" t="n">
        <f aca="false">D90/100</f>
        <v>16.35</v>
      </c>
      <c r="F90" s="3" t="s">
        <v>10</v>
      </c>
      <c r="G90" s="3" t="s">
        <v>10</v>
      </c>
    </row>
    <row r="91" customFormat="false" ht="15" hidden="false" customHeight="false" outlineLevel="0" collapsed="false">
      <c r="A91" s="2" t="s">
        <v>103</v>
      </c>
      <c r="B91" s="3" t="s">
        <v>104</v>
      </c>
      <c r="C91" s="2" t="s">
        <v>110</v>
      </c>
      <c r="D91" s="4" t="n">
        <v>1800</v>
      </c>
      <c r="E91" s="5" t="n">
        <f aca="false">D91/100</f>
        <v>18</v>
      </c>
      <c r="F91" s="3" t="s">
        <v>10</v>
      </c>
      <c r="G91" s="3" t="s">
        <v>10</v>
      </c>
    </row>
    <row r="92" customFormat="false" ht="15" hidden="false" customHeight="false" outlineLevel="0" collapsed="false">
      <c r="A92" s="2" t="s">
        <v>103</v>
      </c>
      <c r="B92" s="3" t="s">
        <v>104</v>
      </c>
      <c r="C92" s="2" t="s">
        <v>111</v>
      </c>
      <c r="D92" s="4" t="n">
        <v>30</v>
      </c>
      <c r="E92" s="5" t="n">
        <f aca="false">D92/100</f>
        <v>0.3</v>
      </c>
      <c r="F92" s="3" t="s">
        <v>10</v>
      </c>
      <c r="G92" s="3" t="s">
        <v>13</v>
      </c>
    </row>
    <row r="93" customFormat="false" ht="15" hidden="false" customHeight="false" outlineLevel="0" collapsed="false">
      <c r="A93" s="2" t="s">
        <v>103</v>
      </c>
      <c r="B93" s="3" t="s">
        <v>104</v>
      </c>
      <c r="C93" s="2" t="s">
        <v>112</v>
      </c>
      <c r="D93" s="4" t="n">
        <v>200</v>
      </c>
      <c r="E93" s="5" t="n">
        <f aca="false">D93/100</f>
        <v>2</v>
      </c>
      <c r="F93" s="3" t="s">
        <v>13</v>
      </c>
      <c r="G93" s="3" t="s">
        <v>10</v>
      </c>
    </row>
    <row r="94" customFormat="false" ht="15" hidden="false" customHeight="false" outlineLevel="0" collapsed="false">
      <c r="A94" s="2" t="s">
        <v>103</v>
      </c>
      <c r="B94" s="3" t="s">
        <v>104</v>
      </c>
      <c r="C94" s="2" t="s">
        <v>113</v>
      </c>
      <c r="D94" s="4" t="n">
        <v>525</v>
      </c>
      <c r="E94" s="5" t="n">
        <f aca="false">D94/100</f>
        <v>5.25</v>
      </c>
      <c r="F94" s="3" t="s">
        <v>10</v>
      </c>
      <c r="G94" s="3" t="s">
        <v>10</v>
      </c>
    </row>
    <row r="95" customFormat="false" ht="15" hidden="false" customHeight="false" outlineLevel="0" collapsed="false">
      <c r="A95" s="2" t="s">
        <v>103</v>
      </c>
      <c r="B95" s="3" t="s">
        <v>104</v>
      </c>
      <c r="C95" s="2" t="s">
        <v>114</v>
      </c>
      <c r="D95" s="4" t="n">
        <v>30</v>
      </c>
      <c r="E95" s="5" t="n">
        <f aca="false">D95/100</f>
        <v>0.3</v>
      </c>
      <c r="F95" s="3" t="s">
        <v>10</v>
      </c>
      <c r="G95" s="3" t="s">
        <v>10</v>
      </c>
    </row>
    <row r="96" customFormat="false" ht="15" hidden="false" customHeight="false" outlineLevel="0" collapsed="false">
      <c r="A96" s="2" t="s">
        <v>103</v>
      </c>
      <c r="B96" s="3" t="s">
        <v>104</v>
      </c>
      <c r="C96" s="2" t="s">
        <v>115</v>
      </c>
      <c r="D96" s="4" t="n">
        <v>30</v>
      </c>
      <c r="E96" s="5" t="n">
        <f aca="false">D96/100</f>
        <v>0.3</v>
      </c>
      <c r="F96" s="3" t="s">
        <v>10</v>
      </c>
      <c r="G96" s="3" t="s">
        <v>10</v>
      </c>
    </row>
    <row r="97" customFormat="false" ht="15" hidden="false" customHeight="false" outlineLevel="0" collapsed="false">
      <c r="A97" s="2" t="s">
        <v>103</v>
      </c>
      <c r="B97" s="3" t="s">
        <v>104</v>
      </c>
      <c r="C97" s="2" t="s">
        <v>116</v>
      </c>
      <c r="D97" s="4" t="n">
        <v>65</v>
      </c>
      <c r="E97" s="5" t="n">
        <f aca="false">D97/100</f>
        <v>0.65</v>
      </c>
      <c r="F97" s="3" t="s">
        <v>10</v>
      </c>
      <c r="G97" s="3" t="s">
        <v>10</v>
      </c>
    </row>
    <row r="98" customFormat="false" ht="15" hidden="false" customHeight="false" outlineLevel="0" collapsed="false">
      <c r="A98" s="2" t="s">
        <v>103</v>
      </c>
      <c r="B98" s="3" t="s">
        <v>104</v>
      </c>
      <c r="C98" s="2" t="s">
        <v>117</v>
      </c>
      <c r="D98" s="4" t="n">
        <v>1630</v>
      </c>
      <c r="E98" s="5" t="n">
        <f aca="false">D98/100</f>
        <v>16.3</v>
      </c>
      <c r="F98" s="3" t="s">
        <v>10</v>
      </c>
      <c r="G98" s="3" t="s">
        <v>10</v>
      </c>
    </row>
    <row r="99" customFormat="false" ht="15" hidden="false" customHeight="false" outlineLevel="0" collapsed="false">
      <c r="A99" s="2" t="s">
        <v>103</v>
      </c>
      <c r="B99" s="3" t="s">
        <v>104</v>
      </c>
      <c r="C99" s="2" t="s">
        <v>118</v>
      </c>
      <c r="D99" s="4" t="n">
        <v>100</v>
      </c>
      <c r="E99" s="5" t="n">
        <f aca="false">D99/100</f>
        <v>1</v>
      </c>
      <c r="F99" s="3" t="s">
        <v>13</v>
      </c>
      <c r="G99" s="3" t="s">
        <v>10</v>
      </c>
    </row>
    <row r="100" customFormat="false" ht="15" hidden="false" customHeight="false" outlineLevel="0" collapsed="false">
      <c r="A100" s="2" t="s">
        <v>103</v>
      </c>
      <c r="B100" s="3" t="s">
        <v>104</v>
      </c>
      <c r="C100" s="2" t="s">
        <v>119</v>
      </c>
      <c r="D100" s="4" t="n">
        <v>200</v>
      </c>
      <c r="E100" s="5" t="n">
        <f aca="false">D100/100</f>
        <v>2</v>
      </c>
      <c r="F100" s="3" t="s">
        <v>10</v>
      </c>
      <c r="G100" s="3" t="s">
        <v>13</v>
      </c>
    </row>
    <row r="101" customFormat="false" ht="15" hidden="false" customHeight="false" outlineLevel="0" collapsed="false">
      <c r="A101" s="2" t="s">
        <v>103</v>
      </c>
      <c r="B101" s="3" t="s">
        <v>104</v>
      </c>
      <c r="C101" s="2" t="s">
        <v>120</v>
      </c>
      <c r="D101" s="4" t="n">
        <v>260</v>
      </c>
      <c r="E101" s="5" t="n">
        <f aca="false">D101/100</f>
        <v>2.6</v>
      </c>
      <c r="F101" s="3" t="s">
        <v>13</v>
      </c>
      <c r="G101" s="3" t="s">
        <v>13</v>
      </c>
    </row>
    <row r="102" customFormat="false" ht="15" hidden="false" customHeight="false" outlineLevel="0" collapsed="false">
      <c r="A102" s="2" t="s">
        <v>103</v>
      </c>
      <c r="B102" s="3" t="s">
        <v>104</v>
      </c>
      <c r="C102" s="2" t="s">
        <v>121</v>
      </c>
      <c r="D102" s="4" t="n">
        <v>1635</v>
      </c>
      <c r="E102" s="5" t="n">
        <f aca="false">D102/100</f>
        <v>16.35</v>
      </c>
      <c r="F102" s="3" t="s">
        <v>10</v>
      </c>
      <c r="G102" s="3" t="s">
        <v>10</v>
      </c>
    </row>
    <row r="103" customFormat="false" ht="15" hidden="false" customHeight="false" outlineLevel="0" collapsed="false">
      <c r="A103" s="2" t="s">
        <v>103</v>
      </c>
      <c r="B103" s="3" t="s">
        <v>104</v>
      </c>
      <c r="C103" s="2" t="s">
        <v>122</v>
      </c>
      <c r="D103" s="4" t="n">
        <v>800</v>
      </c>
      <c r="E103" s="5" t="n">
        <f aca="false">D103/100</f>
        <v>8</v>
      </c>
      <c r="F103" s="3" t="s">
        <v>10</v>
      </c>
      <c r="G103" s="3" t="s">
        <v>10</v>
      </c>
    </row>
    <row r="104" customFormat="false" ht="15" hidden="false" customHeight="false" outlineLevel="0" collapsed="false">
      <c r="A104" s="2" t="s">
        <v>103</v>
      </c>
      <c r="B104" s="3" t="s">
        <v>104</v>
      </c>
      <c r="C104" s="2" t="s">
        <v>123</v>
      </c>
      <c r="D104" s="4" t="n">
        <v>1250</v>
      </c>
      <c r="E104" s="5" t="n">
        <f aca="false">D104/100</f>
        <v>12.5</v>
      </c>
      <c r="F104" s="3" t="s">
        <v>13</v>
      </c>
      <c r="G104" s="3" t="s">
        <v>10</v>
      </c>
    </row>
    <row r="105" customFormat="false" ht="15" hidden="false" customHeight="false" outlineLevel="0" collapsed="false">
      <c r="A105" s="2" t="s">
        <v>103</v>
      </c>
      <c r="B105" s="3" t="s">
        <v>104</v>
      </c>
      <c r="C105" s="2" t="s">
        <v>124</v>
      </c>
      <c r="D105" s="4" t="n">
        <v>525</v>
      </c>
      <c r="E105" s="5" t="n">
        <f aca="false">D105/100</f>
        <v>5.25</v>
      </c>
      <c r="F105" s="3" t="s">
        <v>13</v>
      </c>
      <c r="G105" s="3" t="s">
        <v>10</v>
      </c>
    </row>
    <row r="106" customFormat="false" ht="15" hidden="false" customHeight="false" outlineLevel="0" collapsed="false">
      <c r="A106" s="2" t="s">
        <v>125</v>
      </c>
      <c r="B106" s="3" t="s">
        <v>126</v>
      </c>
      <c r="C106" s="2" t="s">
        <v>127</v>
      </c>
      <c r="D106" s="4" t="n">
        <v>1800</v>
      </c>
      <c r="E106" s="5" t="n">
        <f aca="false">D106/100</f>
        <v>18</v>
      </c>
      <c r="F106" s="3" t="s">
        <v>10</v>
      </c>
      <c r="G106" s="3" t="s">
        <v>10</v>
      </c>
    </row>
    <row r="107" customFormat="false" ht="15" hidden="false" customHeight="false" outlineLevel="0" collapsed="false">
      <c r="A107" s="2" t="s">
        <v>125</v>
      </c>
      <c r="B107" s="3" t="s">
        <v>126</v>
      </c>
      <c r="C107" s="2" t="s">
        <v>128</v>
      </c>
      <c r="D107" s="4" t="n">
        <v>240</v>
      </c>
      <c r="E107" s="5" t="n">
        <f aca="false">D107/100</f>
        <v>2.4</v>
      </c>
      <c r="F107" s="3" t="s">
        <v>13</v>
      </c>
      <c r="G107" s="3" t="s">
        <v>10</v>
      </c>
    </row>
    <row r="108" customFormat="false" ht="15" hidden="false" customHeight="false" outlineLevel="0" collapsed="false">
      <c r="A108" s="2" t="s">
        <v>125</v>
      </c>
      <c r="B108" s="3" t="s">
        <v>126</v>
      </c>
      <c r="C108" s="2" t="s">
        <v>129</v>
      </c>
      <c r="D108" s="4" t="n">
        <v>30</v>
      </c>
      <c r="E108" s="5" t="n">
        <f aca="false">D108/100</f>
        <v>0.3</v>
      </c>
      <c r="F108" s="3" t="s">
        <v>10</v>
      </c>
      <c r="G108" s="3" t="s">
        <v>10</v>
      </c>
    </row>
    <row r="109" customFormat="false" ht="15" hidden="false" customHeight="false" outlineLevel="0" collapsed="false">
      <c r="A109" s="2" t="s">
        <v>125</v>
      </c>
      <c r="B109" s="3" t="s">
        <v>126</v>
      </c>
      <c r="C109" s="2" t="s">
        <v>130</v>
      </c>
      <c r="D109" s="4" t="n">
        <v>150</v>
      </c>
      <c r="E109" s="5" t="n">
        <f aca="false">D109/100</f>
        <v>1.5</v>
      </c>
      <c r="F109" s="3" t="s">
        <v>10</v>
      </c>
      <c r="G109" s="3" t="s">
        <v>10</v>
      </c>
    </row>
    <row r="110" customFormat="false" ht="15" hidden="false" customHeight="false" outlineLevel="0" collapsed="false">
      <c r="A110" s="2" t="s">
        <v>125</v>
      </c>
      <c r="B110" s="3" t="s">
        <v>126</v>
      </c>
      <c r="C110" s="2" t="s">
        <v>131</v>
      </c>
      <c r="D110" s="4" t="n">
        <v>200</v>
      </c>
      <c r="E110" s="5" t="n">
        <f aca="false">D110/100</f>
        <v>2</v>
      </c>
      <c r="F110" s="3" t="s">
        <v>13</v>
      </c>
      <c r="G110" s="3" t="s">
        <v>10</v>
      </c>
    </row>
    <row r="111" customFormat="false" ht="15" hidden="false" customHeight="false" outlineLevel="0" collapsed="false">
      <c r="A111" s="2" t="s">
        <v>125</v>
      </c>
      <c r="B111" s="3" t="s">
        <v>126</v>
      </c>
      <c r="C111" s="2" t="s">
        <v>132</v>
      </c>
      <c r="D111" s="4" t="n">
        <v>700</v>
      </c>
      <c r="E111" s="5" t="n">
        <f aca="false">D111/100</f>
        <v>7</v>
      </c>
      <c r="F111" s="3" t="s">
        <v>13</v>
      </c>
      <c r="G111" s="3" t="s">
        <v>10</v>
      </c>
    </row>
    <row r="112" customFormat="false" ht="15" hidden="false" customHeight="false" outlineLevel="0" collapsed="false">
      <c r="A112" s="2" t="s">
        <v>125</v>
      </c>
      <c r="B112" s="3" t="s">
        <v>126</v>
      </c>
      <c r="C112" s="2" t="s">
        <v>133</v>
      </c>
      <c r="D112" s="4" t="n">
        <v>1100</v>
      </c>
      <c r="E112" s="5" t="n">
        <f aca="false">D112/100</f>
        <v>11</v>
      </c>
      <c r="F112" s="3" t="s">
        <v>13</v>
      </c>
      <c r="G112" s="3" t="s">
        <v>10</v>
      </c>
    </row>
    <row r="113" customFormat="false" ht="15" hidden="false" customHeight="false" outlineLevel="0" collapsed="false">
      <c r="A113" s="2" t="s">
        <v>125</v>
      </c>
      <c r="B113" s="3" t="s">
        <v>126</v>
      </c>
      <c r="C113" s="2" t="s">
        <v>134</v>
      </c>
      <c r="D113" s="4" t="n">
        <v>300</v>
      </c>
      <c r="E113" s="5" t="n">
        <f aca="false">D113/100</f>
        <v>3</v>
      </c>
      <c r="F113" s="3" t="s">
        <v>13</v>
      </c>
      <c r="G113" s="3" t="s">
        <v>10</v>
      </c>
    </row>
    <row r="114" customFormat="false" ht="15" hidden="false" customHeight="false" outlineLevel="0" collapsed="false">
      <c r="A114" s="2" t="s">
        <v>125</v>
      </c>
      <c r="B114" s="3" t="s">
        <v>126</v>
      </c>
      <c r="C114" s="2" t="s">
        <v>135</v>
      </c>
      <c r="D114" s="4" t="n">
        <v>30</v>
      </c>
      <c r="E114" s="5" t="n">
        <f aca="false">D114/100</f>
        <v>0.3</v>
      </c>
      <c r="F114" s="3" t="s">
        <v>10</v>
      </c>
      <c r="G114" s="3" t="s">
        <v>10</v>
      </c>
    </row>
    <row r="115" customFormat="false" ht="15" hidden="false" customHeight="false" outlineLevel="0" collapsed="false">
      <c r="A115" s="2" t="s">
        <v>125</v>
      </c>
      <c r="B115" s="3" t="s">
        <v>126</v>
      </c>
      <c r="C115" s="2" t="s">
        <v>136</v>
      </c>
      <c r="D115" s="4" t="n">
        <v>420</v>
      </c>
      <c r="E115" s="5" t="n">
        <f aca="false">D115/100</f>
        <v>4.2</v>
      </c>
      <c r="F115" s="3" t="s">
        <v>10</v>
      </c>
      <c r="G115" s="3" t="s">
        <v>10</v>
      </c>
    </row>
    <row r="116" customFormat="false" ht="15" hidden="false" customHeight="false" outlineLevel="0" collapsed="false">
      <c r="A116" s="2" t="s">
        <v>125</v>
      </c>
      <c r="B116" s="3" t="s">
        <v>126</v>
      </c>
      <c r="C116" s="2" t="s">
        <v>137</v>
      </c>
      <c r="D116" s="4" t="n">
        <v>400</v>
      </c>
      <c r="E116" s="5" t="n">
        <f aca="false">D116/100</f>
        <v>4</v>
      </c>
      <c r="F116" s="3" t="s">
        <v>10</v>
      </c>
      <c r="G116" s="3" t="s">
        <v>10</v>
      </c>
    </row>
    <row r="117" customFormat="false" ht="15" hidden="false" customHeight="false" outlineLevel="0" collapsed="false">
      <c r="A117" s="2" t="s">
        <v>125</v>
      </c>
      <c r="B117" s="3" t="s">
        <v>126</v>
      </c>
      <c r="C117" s="2" t="s">
        <v>138</v>
      </c>
      <c r="D117" s="4" t="n">
        <v>380</v>
      </c>
      <c r="E117" s="5" t="n">
        <f aca="false">D117/100</f>
        <v>3.8</v>
      </c>
      <c r="F117" s="3" t="s">
        <v>10</v>
      </c>
      <c r="G117" s="3" t="s">
        <v>10</v>
      </c>
    </row>
    <row r="118" customFormat="false" ht="15" hidden="false" customHeight="false" outlineLevel="0" collapsed="false">
      <c r="A118" s="2" t="s">
        <v>125</v>
      </c>
      <c r="B118" s="3" t="s">
        <v>126</v>
      </c>
      <c r="C118" s="2" t="s">
        <v>139</v>
      </c>
      <c r="D118" s="4" t="n">
        <v>30</v>
      </c>
      <c r="E118" s="5" t="n">
        <f aca="false">D118/100</f>
        <v>0.3</v>
      </c>
      <c r="F118" s="3" t="s">
        <v>10</v>
      </c>
      <c r="G118" s="3" t="s">
        <v>10</v>
      </c>
    </row>
    <row r="119" customFormat="false" ht="15" hidden="false" customHeight="false" outlineLevel="0" collapsed="false">
      <c r="A119" s="2" t="s">
        <v>125</v>
      </c>
      <c r="B119" s="3" t="s">
        <v>126</v>
      </c>
      <c r="C119" s="2" t="s">
        <v>140</v>
      </c>
      <c r="D119" s="4" t="n">
        <v>550</v>
      </c>
      <c r="E119" s="5" t="n">
        <f aca="false">D119/100</f>
        <v>5.5</v>
      </c>
      <c r="F119" s="3" t="s">
        <v>10</v>
      </c>
      <c r="G119" s="3" t="s">
        <v>10</v>
      </c>
    </row>
    <row r="120" customFormat="false" ht="15" hidden="false" customHeight="false" outlineLevel="0" collapsed="false">
      <c r="A120" s="2" t="s">
        <v>125</v>
      </c>
      <c r="B120" s="3" t="s">
        <v>126</v>
      </c>
      <c r="C120" s="2" t="s">
        <v>141</v>
      </c>
      <c r="D120" s="4" t="n">
        <v>2675</v>
      </c>
      <c r="E120" s="5" t="n">
        <f aca="false">D120/100</f>
        <v>26.75</v>
      </c>
      <c r="F120" s="3" t="s">
        <v>10</v>
      </c>
      <c r="G120" s="3" t="s">
        <v>10</v>
      </c>
    </row>
    <row r="121" customFormat="false" ht="15" hidden="false" customHeight="false" outlineLevel="0" collapsed="false">
      <c r="A121" s="2" t="s">
        <v>125</v>
      </c>
      <c r="B121" s="3" t="s">
        <v>126</v>
      </c>
      <c r="C121" s="2" t="s">
        <v>142</v>
      </c>
      <c r="D121" s="4" t="n">
        <v>30</v>
      </c>
      <c r="E121" s="5" t="n">
        <f aca="false">D121/100</f>
        <v>0.3</v>
      </c>
      <c r="F121" s="3" t="s">
        <v>10</v>
      </c>
      <c r="G121" s="3" t="s">
        <v>10</v>
      </c>
    </row>
    <row r="122" customFormat="false" ht="15" hidden="false" customHeight="false" outlineLevel="0" collapsed="false">
      <c r="A122" s="2" t="s">
        <v>125</v>
      </c>
      <c r="B122" s="3" t="s">
        <v>126</v>
      </c>
      <c r="C122" s="2" t="s">
        <v>143</v>
      </c>
      <c r="D122" s="4" t="n">
        <v>95</v>
      </c>
      <c r="E122" s="5" t="n">
        <f aca="false">D122/100</f>
        <v>0.95</v>
      </c>
      <c r="F122" s="3" t="s">
        <v>10</v>
      </c>
      <c r="G122" s="3" t="s">
        <v>10</v>
      </c>
    </row>
    <row r="123" customFormat="false" ht="15" hidden="false" customHeight="false" outlineLevel="0" collapsed="false">
      <c r="A123" s="2" t="s">
        <v>125</v>
      </c>
      <c r="B123" s="3" t="s">
        <v>126</v>
      </c>
      <c r="C123" s="2" t="s">
        <v>144</v>
      </c>
      <c r="D123" s="4" t="n">
        <v>180</v>
      </c>
      <c r="E123" s="5" t="n">
        <f aca="false">D123/100</f>
        <v>1.8</v>
      </c>
      <c r="F123" s="3" t="s">
        <v>10</v>
      </c>
      <c r="G123" s="3" t="s">
        <v>10</v>
      </c>
    </row>
    <row r="124" customFormat="false" ht="15" hidden="false" customHeight="false" outlineLevel="0" collapsed="false">
      <c r="A124" s="2" t="s">
        <v>125</v>
      </c>
      <c r="B124" s="3" t="s">
        <v>126</v>
      </c>
      <c r="C124" s="2" t="s">
        <v>145</v>
      </c>
      <c r="D124" s="4" t="n">
        <v>80</v>
      </c>
      <c r="E124" s="5" t="n">
        <f aca="false">D124/100</f>
        <v>0.8</v>
      </c>
      <c r="F124" s="3" t="s">
        <v>13</v>
      </c>
      <c r="G124" s="3" t="s">
        <v>10</v>
      </c>
    </row>
    <row r="125" customFormat="false" ht="15" hidden="false" customHeight="false" outlineLevel="0" collapsed="false">
      <c r="A125" s="2" t="s">
        <v>125</v>
      </c>
      <c r="B125" s="3" t="s">
        <v>126</v>
      </c>
      <c r="C125" s="2" t="s">
        <v>146</v>
      </c>
      <c r="D125" s="4" t="n">
        <v>160</v>
      </c>
      <c r="E125" s="5" t="n">
        <f aca="false">D125/100</f>
        <v>1.6</v>
      </c>
      <c r="F125" s="3" t="s">
        <v>10</v>
      </c>
      <c r="G125" s="3" t="s">
        <v>10</v>
      </c>
    </row>
    <row r="126" customFormat="false" ht="15" hidden="false" customHeight="false" outlineLevel="0" collapsed="false">
      <c r="A126" s="2" t="s">
        <v>125</v>
      </c>
      <c r="B126" s="3" t="s">
        <v>126</v>
      </c>
      <c r="C126" s="2" t="s">
        <v>147</v>
      </c>
      <c r="D126" s="4" t="n">
        <v>1800</v>
      </c>
      <c r="E126" s="5" t="n">
        <f aca="false">D126/100</f>
        <v>18</v>
      </c>
      <c r="F126" s="3" t="s">
        <v>10</v>
      </c>
      <c r="G126" s="3" t="s">
        <v>10</v>
      </c>
    </row>
    <row r="127" customFormat="false" ht="15" hidden="false" customHeight="false" outlineLevel="0" collapsed="false">
      <c r="A127" s="2" t="s">
        <v>148</v>
      </c>
      <c r="B127" s="3" t="s">
        <v>149</v>
      </c>
      <c r="C127" s="2" t="s">
        <v>150</v>
      </c>
      <c r="D127" s="4" t="n">
        <v>1400</v>
      </c>
      <c r="E127" s="5" t="n">
        <f aca="false">D127/100</f>
        <v>14</v>
      </c>
      <c r="F127" s="3" t="s">
        <v>10</v>
      </c>
      <c r="G127" s="3" t="s">
        <v>10</v>
      </c>
    </row>
    <row r="128" customFormat="false" ht="15" hidden="false" customHeight="false" outlineLevel="0" collapsed="false">
      <c r="A128" s="2" t="s">
        <v>148</v>
      </c>
      <c r="B128" s="3" t="s">
        <v>149</v>
      </c>
      <c r="C128" s="2" t="s">
        <v>151</v>
      </c>
      <c r="D128" s="4" t="n">
        <v>100</v>
      </c>
      <c r="E128" s="5" t="n">
        <f aca="false">D128/100</f>
        <v>1</v>
      </c>
      <c r="F128" s="3" t="s">
        <v>13</v>
      </c>
      <c r="G128" s="3" t="s">
        <v>13</v>
      </c>
    </row>
    <row r="129" customFormat="false" ht="15" hidden="false" customHeight="false" outlineLevel="0" collapsed="false">
      <c r="A129" s="2" t="s">
        <v>148</v>
      </c>
      <c r="B129" s="3" t="s">
        <v>149</v>
      </c>
      <c r="C129" s="2" t="s">
        <v>152</v>
      </c>
      <c r="D129" s="4" t="n">
        <v>1250</v>
      </c>
      <c r="E129" s="5" t="n">
        <f aca="false">D129/100</f>
        <v>12.5</v>
      </c>
      <c r="F129" s="3" t="s">
        <v>13</v>
      </c>
      <c r="G129" s="3" t="s">
        <v>10</v>
      </c>
    </row>
    <row r="130" customFormat="false" ht="15" hidden="false" customHeight="false" outlineLevel="0" collapsed="false">
      <c r="A130" s="2" t="s">
        <v>148</v>
      </c>
      <c r="B130" s="3" t="s">
        <v>149</v>
      </c>
      <c r="C130" s="2" t="s">
        <v>153</v>
      </c>
      <c r="D130" s="4" t="n">
        <v>150</v>
      </c>
      <c r="E130" s="5" t="n">
        <f aca="false">D130/100</f>
        <v>1.5</v>
      </c>
      <c r="F130" s="3" t="s">
        <v>13</v>
      </c>
      <c r="G130" s="3" t="s">
        <v>10</v>
      </c>
    </row>
    <row r="131" customFormat="false" ht="15" hidden="false" customHeight="false" outlineLevel="0" collapsed="false">
      <c r="A131" s="2" t="s">
        <v>148</v>
      </c>
      <c r="B131" s="3" t="s">
        <v>149</v>
      </c>
      <c r="C131" s="2" t="s">
        <v>154</v>
      </c>
      <c r="D131" s="4" t="n">
        <v>30</v>
      </c>
      <c r="E131" s="5" t="n">
        <f aca="false">D131/100</f>
        <v>0.3</v>
      </c>
      <c r="F131" s="3" t="s">
        <v>13</v>
      </c>
      <c r="G131" s="3" t="s">
        <v>10</v>
      </c>
    </row>
    <row r="132" customFormat="false" ht="15" hidden="false" customHeight="false" outlineLevel="0" collapsed="false">
      <c r="A132" s="2" t="s">
        <v>148</v>
      </c>
      <c r="B132" s="3" t="s">
        <v>149</v>
      </c>
      <c r="C132" s="2" t="s">
        <v>155</v>
      </c>
      <c r="D132" s="4" t="n">
        <v>350</v>
      </c>
      <c r="E132" s="5" t="n">
        <f aca="false">D132/100</f>
        <v>3.5</v>
      </c>
      <c r="F132" s="3" t="s">
        <v>13</v>
      </c>
      <c r="G132" s="3" t="s">
        <v>10</v>
      </c>
    </row>
    <row r="133" customFormat="false" ht="15" hidden="false" customHeight="false" outlineLevel="0" collapsed="false">
      <c r="A133" s="2" t="s">
        <v>148</v>
      </c>
      <c r="B133" s="3" t="s">
        <v>149</v>
      </c>
      <c r="C133" s="2" t="s">
        <v>156</v>
      </c>
      <c r="D133" s="4" t="n">
        <v>1400</v>
      </c>
      <c r="E133" s="5" t="n">
        <f aca="false">D133/100</f>
        <v>14</v>
      </c>
      <c r="F133" s="3" t="s">
        <v>10</v>
      </c>
      <c r="G133" s="3" t="s">
        <v>13</v>
      </c>
    </row>
    <row r="134" customFormat="false" ht="15" hidden="false" customHeight="false" outlineLevel="0" collapsed="false">
      <c r="A134" s="2" t="s">
        <v>148</v>
      </c>
      <c r="B134" s="3" t="s">
        <v>149</v>
      </c>
      <c r="C134" s="2" t="s">
        <v>157</v>
      </c>
      <c r="D134" s="4" t="n">
        <v>1400</v>
      </c>
      <c r="E134" s="5" t="n">
        <f aca="false">D134/100</f>
        <v>14</v>
      </c>
      <c r="F134" s="3" t="s">
        <v>10</v>
      </c>
      <c r="G134" s="3" t="s">
        <v>10</v>
      </c>
    </row>
    <row r="135" customFormat="false" ht="15" hidden="false" customHeight="false" outlineLevel="0" collapsed="false">
      <c r="A135" s="2" t="s">
        <v>148</v>
      </c>
      <c r="B135" s="3" t="s">
        <v>149</v>
      </c>
      <c r="C135" s="2" t="s">
        <v>158</v>
      </c>
      <c r="D135" s="4" t="n">
        <v>240</v>
      </c>
      <c r="E135" s="5" t="n">
        <f aca="false">D135/100</f>
        <v>2.4</v>
      </c>
      <c r="F135" s="3" t="s">
        <v>13</v>
      </c>
      <c r="G135" s="3" t="s">
        <v>13</v>
      </c>
    </row>
    <row r="136" customFormat="false" ht="15" hidden="false" customHeight="false" outlineLevel="0" collapsed="false">
      <c r="A136" s="2" t="s">
        <v>148</v>
      </c>
      <c r="B136" s="3" t="s">
        <v>149</v>
      </c>
      <c r="C136" s="2" t="s">
        <v>159</v>
      </c>
      <c r="D136" s="4" t="n">
        <v>400</v>
      </c>
      <c r="E136" s="5" t="n">
        <f aca="false">D136/100</f>
        <v>4</v>
      </c>
      <c r="F136" s="3" t="s">
        <v>10</v>
      </c>
      <c r="G136" s="3" t="s">
        <v>10</v>
      </c>
    </row>
    <row r="137" customFormat="false" ht="15" hidden="false" customHeight="false" outlineLevel="0" collapsed="false">
      <c r="A137" s="2" t="s">
        <v>148</v>
      </c>
      <c r="B137" s="3" t="s">
        <v>149</v>
      </c>
      <c r="C137" s="2" t="s">
        <v>160</v>
      </c>
      <c r="D137" s="4" t="n">
        <v>1100</v>
      </c>
      <c r="E137" s="5" t="n">
        <f aca="false">D137/100</f>
        <v>11</v>
      </c>
      <c r="F137" s="3" t="s">
        <v>13</v>
      </c>
      <c r="G137" s="3" t="s">
        <v>10</v>
      </c>
    </row>
    <row r="138" customFormat="false" ht="15" hidden="false" customHeight="false" outlineLevel="0" collapsed="false">
      <c r="A138" s="2" t="s">
        <v>148</v>
      </c>
      <c r="B138" s="3" t="s">
        <v>149</v>
      </c>
      <c r="C138" s="2" t="s">
        <v>161</v>
      </c>
      <c r="D138" s="4" t="n">
        <v>80</v>
      </c>
      <c r="E138" s="5" t="n">
        <f aca="false">D138/100</f>
        <v>0.8</v>
      </c>
      <c r="F138" s="3" t="s">
        <v>10</v>
      </c>
      <c r="G138" s="3" t="s">
        <v>10</v>
      </c>
    </row>
    <row r="139" customFormat="false" ht="15" hidden="false" customHeight="false" outlineLevel="0" collapsed="false">
      <c r="A139" s="2" t="s">
        <v>148</v>
      </c>
      <c r="B139" s="3" t="s">
        <v>149</v>
      </c>
      <c r="C139" s="2" t="s">
        <v>162</v>
      </c>
      <c r="D139" s="4" t="n">
        <v>650</v>
      </c>
      <c r="E139" s="5" t="n">
        <f aca="false">D139/100</f>
        <v>6.5</v>
      </c>
      <c r="F139" s="3" t="s">
        <v>10</v>
      </c>
      <c r="G139" s="3" t="s">
        <v>10</v>
      </c>
    </row>
    <row r="140" customFormat="false" ht="15" hidden="false" customHeight="false" outlineLevel="0" collapsed="false">
      <c r="A140" s="2" t="s">
        <v>148</v>
      </c>
      <c r="B140" s="3" t="s">
        <v>149</v>
      </c>
      <c r="C140" s="2" t="s">
        <v>163</v>
      </c>
      <c r="D140" s="4" t="n">
        <v>110</v>
      </c>
      <c r="E140" s="5" t="n">
        <f aca="false">D140/100</f>
        <v>1.1</v>
      </c>
      <c r="F140" s="3" t="s">
        <v>10</v>
      </c>
      <c r="G140" s="3" t="s">
        <v>10</v>
      </c>
    </row>
    <row r="141" customFormat="false" ht="15" hidden="false" customHeight="false" outlineLevel="0" collapsed="false">
      <c r="A141" s="2" t="s">
        <v>148</v>
      </c>
      <c r="B141" s="3" t="s">
        <v>149</v>
      </c>
      <c r="C141" s="2" t="s">
        <v>164</v>
      </c>
      <c r="D141" s="4" t="n">
        <v>1800</v>
      </c>
      <c r="E141" s="5" t="n">
        <f aca="false">D141/100</f>
        <v>18</v>
      </c>
      <c r="F141" s="3" t="s">
        <v>10</v>
      </c>
      <c r="G141" s="3" t="s">
        <v>10</v>
      </c>
    </row>
    <row r="142" customFormat="false" ht="15" hidden="false" customHeight="false" outlineLevel="0" collapsed="false">
      <c r="A142" s="2" t="s">
        <v>148</v>
      </c>
      <c r="B142" s="3" t="s">
        <v>149</v>
      </c>
      <c r="C142" s="2" t="s">
        <v>165</v>
      </c>
      <c r="D142" s="4" t="n">
        <v>35</v>
      </c>
      <c r="E142" s="5" t="n">
        <f aca="false">D142/100</f>
        <v>0.35</v>
      </c>
      <c r="F142" s="3" t="s">
        <v>10</v>
      </c>
      <c r="G142" s="3" t="s">
        <v>10</v>
      </c>
    </row>
    <row r="143" customFormat="false" ht="15" hidden="false" customHeight="false" outlineLevel="0" collapsed="false">
      <c r="A143" s="2" t="s">
        <v>166</v>
      </c>
      <c r="B143" s="3" t="s">
        <v>167</v>
      </c>
      <c r="C143" s="2" t="s">
        <v>168</v>
      </c>
      <c r="D143" s="4" t="n">
        <v>30</v>
      </c>
      <c r="E143" s="5" t="n">
        <f aca="false">D143/100</f>
        <v>0.3</v>
      </c>
      <c r="F143" s="3" t="s">
        <v>10</v>
      </c>
      <c r="G143" s="3" t="s">
        <v>10</v>
      </c>
    </row>
    <row r="144" customFormat="false" ht="15" hidden="false" customHeight="false" outlineLevel="0" collapsed="false">
      <c r="A144" s="2" t="s">
        <v>166</v>
      </c>
      <c r="B144" s="3" t="s">
        <v>167</v>
      </c>
      <c r="C144" s="2" t="s">
        <v>169</v>
      </c>
      <c r="D144" s="4" t="n">
        <v>1075</v>
      </c>
      <c r="E144" s="5" t="n">
        <f aca="false">D144/100</f>
        <v>10.75</v>
      </c>
      <c r="F144" s="3" t="s">
        <v>10</v>
      </c>
      <c r="G144" s="3" t="s">
        <v>10</v>
      </c>
    </row>
    <row r="145" customFormat="false" ht="15" hidden="false" customHeight="false" outlineLevel="0" collapsed="false">
      <c r="A145" s="2" t="s">
        <v>166</v>
      </c>
      <c r="B145" s="3" t="s">
        <v>167</v>
      </c>
      <c r="C145" s="2" t="s">
        <v>170</v>
      </c>
      <c r="D145" s="4" t="n">
        <v>200</v>
      </c>
      <c r="E145" s="5" t="n">
        <f aca="false">D145/100</f>
        <v>2</v>
      </c>
      <c r="F145" s="3" t="s">
        <v>10</v>
      </c>
      <c r="G145" s="3" t="s">
        <v>10</v>
      </c>
    </row>
    <row r="146" customFormat="false" ht="15" hidden="false" customHeight="false" outlineLevel="0" collapsed="false">
      <c r="A146" s="2" t="s">
        <v>166</v>
      </c>
      <c r="B146" s="3" t="s">
        <v>167</v>
      </c>
      <c r="C146" s="2" t="s">
        <v>171</v>
      </c>
      <c r="D146" s="4" t="n">
        <v>260</v>
      </c>
      <c r="E146" s="5" t="n">
        <f aca="false">D146/100</f>
        <v>2.6</v>
      </c>
      <c r="F146" s="3" t="s">
        <v>13</v>
      </c>
      <c r="G146" s="3" t="s">
        <v>10</v>
      </c>
    </row>
    <row r="147" customFormat="false" ht="15" hidden="false" customHeight="false" outlineLevel="0" collapsed="false">
      <c r="A147" s="2" t="s">
        <v>166</v>
      </c>
      <c r="B147" s="3" t="s">
        <v>167</v>
      </c>
      <c r="C147" s="2" t="s">
        <v>172</v>
      </c>
      <c r="D147" s="4" t="n">
        <v>1100</v>
      </c>
      <c r="E147" s="5" t="n">
        <f aca="false">D147/100</f>
        <v>11</v>
      </c>
      <c r="F147" s="3" t="s">
        <v>10</v>
      </c>
      <c r="G147" s="3" t="s">
        <v>10</v>
      </c>
    </row>
    <row r="148" customFormat="false" ht="15" hidden="false" customHeight="false" outlineLevel="0" collapsed="false">
      <c r="A148" s="2" t="s">
        <v>166</v>
      </c>
      <c r="B148" s="3" t="s">
        <v>167</v>
      </c>
      <c r="C148" s="2" t="s">
        <v>173</v>
      </c>
      <c r="D148" s="4" t="n">
        <v>1250</v>
      </c>
      <c r="E148" s="5" t="n">
        <f aca="false">D148/100</f>
        <v>12.5</v>
      </c>
      <c r="F148" s="3" t="s">
        <v>13</v>
      </c>
      <c r="G148" s="3" t="s">
        <v>10</v>
      </c>
    </row>
    <row r="149" customFormat="false" ht="15" hidden="false" customHeight="false" outlineLevel="0" collapsed="false">
      <c r="A149" s="2" t="s">
        <v>166</v>
      </c>
      <c r="B149" s="3" t="s">
        <v>167</v>
      </c>
      <c r="C149" s="2" t="s">
        <v>174</v>
      </c>
      <c r="D149" s="4" t="n">
        <v>575</v>
      </c>
      <c r="E149" s="5" t="n">
        <f aca="false">D149/100</f>
        <v>5.75</v>
      </c>
      <c r="F149" s="3" t="s">
        <v>10</v>
      </c>
      <c r="G149" s="3" t="s">
        <v>10</v>
      </c>
    </row>
    <row r="150" customFormat="false" ht="15" hidden="false" customHeight="false" outlineLevel="0" collapsed="false">
      <c r="A150" s="2" t="s">
        <v>166</v>
      </c>
      <c r="B150" s="3" t="s">
        <v>167</v>
      </c>
      <c r="C150" s="2" t="s">
        <v>175</v>
      </c>
      <c r="D150" s="4" t="n">
        <v>160</v>
      </c>
      <c r="E150" s="5" t="n">
        <f aca="false">D150/100</f>
        <v>1.6</v>
      </c>
      <c r="F150" s="3" t="s">
        <v>13</v>
      </c>
      <c r="G150" s="3" t="s">
        <v>10</v>
      </c>
    </row>
    <row r="151" customFormat="false" ht="15" hidden="false" customHeight="false" outlineLevel="0" collapsed="false">
      <c r="A151" s="2" t="s">
        <v>166</v>
      </c>
      <c r="B151" s="3" t="s">
        <v>167</v>
      </c>
      <c r="C151" s="2" t="s">
        <v>176</v>
      </c>
      <c r="D151" s="4" t="n">
        <v>1150</v>
      </c>
      <c r="E151" s="5" t="n">
        <f aca="false">D151/100</f>
        <v>11.5</v>
      </c>
      <c r="F151" s="3" t="s">
        <v>13</v>
      </c>
      <c r="G151" s="3" t="s">
        <v>10</v>
      </c>
    </row>
    <row r="152" customFormat="false" ht="15" hidden="false" customHeight="false" outlineLevel="0" collapsed="false">
      <c r="A152" s="2" t="s">
        <v>166</v>
      </c>
      <c r="B152" s="3" t="s">
        <v>167</v>
      </c>
      <c r="C152" s="2" t="s">
        <v>177</v>
      </c>
      <c r="D152" s="4" t="n">
        <v>1100</v>
      </c>
      <c r="E152" s="5" t="n">
        <f aca="false">D152/100</f>
        <v>11</v>
      </c>
      <c r="F152" s="3" t="s">
        <v>10</v>
      </c>
      <c r="G152" s="3" t="s">
        <v>10</v>
      </c>
    </row>
    <row r="153" customFormat="false" ht="15" hidden="false" customHeight="false" outlineLevel="0" collapsed="false">
      <c r="A153" s="2" t="s">
        <v>166</v>
      </c>
      <c r="B153" s="3" t="s">
        <v>167</v>
      </c>
      <c r="C153" s="2" t="s">
        <v>178</v>
      </c>
      <c r="D153" s="4" t="n">
        <v>600</v>
      </c>
      <c r="E153" s="5" t="n">
        <f aca="false">D153/100</f>
        <v>6</v>
      </c>
      <c r="F153" s="3" t="s">
        <v>10</v>
      </c>
      <c r="G153" s="3" t="s">
        <v>10</v>
      </c>
    </row>
    <row r="154" customFormat="false" ht="15" hidden="false" customHeight="false" outlineLevel="0" collapsed="false">
      <c r="A154" s="2" t="s">
        <v>166</v>
      </c>
      <c r="B154" s="3" t="s">
        <v>167</v>
      </c>
      <c r="C154" s="2" t="s">
        <v>179</v>
      </c>
      <c r="D154" s="4" t="n">
        <v>150</v>
      </c>
      <c r="E154" s="5" t="n">
        <f aca="false">D154/100</f>
        <v>1.5</v>
      </c>
      <c r="F154" s="3" t="s">
        <v>13</v>
      </c>
      <c r="G154" s="3" t="s">
        <v>10</v>
      </c>
    </row>
    <row r="155" customFormat="false" ht="15" hidden="false" customHeight="false" outlineLevel="0" collapsed="false">
      <c r="A155" s="2" t="s">
        <v>166</v>
      </c>
      <c r="B155" s="3" t="s">
        <v>167</v>
      </c>
      <c r="C155" s="2" t="s">
        <v>180</v>
      </c>
      <c r="D155" s="4" t="n">
        <v>260</v>
      </c>
      <c r="E155" s="5" t="n">
        <f aca="false">D155/100</f>
        <v>2.6</v>
      </c>
      <c r="F155" s="3" t="s">
        <v>10</v>
      </c>
      <c r="G155" s="3" t="s">
        <v>10</v>
      </c>
    </row>
    <row r="156" customFormat="false" ht="15" hidden="false" customHeight="false" outlineLevel="0" collapsed="false">
      <c r="A156" s="2" t="s">
        <v>166</v>
      </c>
      <c r="B156" s="3" t="s">
        <v>167</v>
      </c>
      <c r="C156" s="2" t="s">
        <v>181</v>
      </c>
      <c r="D156" s="4" t="n">
        <v>50</v>
      </c>
      <c r="E156" s="5" t="n">
        <f aca="false">D156/100</f>
        <v>0.5</v>
      </c>
      <c r="F156" s="3" t="s">
        <v>10</v>
      </c>
      <c r="G156" s="3" t="s">
        <v>10</v>
      </c>
    </row>
    <row r="157" customFormat="false" ht="15" hidden="false" customHeight="false" outlineLevel="0" collapsed="false">
      <c r="A157" s="2" t="s">
        <v>166</v>
      </c>
      <c r="B157" s="3" t="s">
        <v>167</v>
      </c>
      <c r="C157" s="2" t="s">
        <v>182</v>
      </c>
      <c r="D157" s="4" t="n">
        <v>300</v>
      </c>
      <c r="E157" s="5" t="n">
        <f aca="false">D157/100</f>
        <v>3</v>
      </c>
      <c r="F157" s="3" t="s">
        <v>13</v>
      </c>
      <c r="G157" s="3" t="s">
        <v>10</v>
      </c>
    </row>
    <row r="158" customFormat="false" ht="15" hidden="false" customHeight="false" outlineLevel="0" collapsed="false">
      <c r="A158" s="2" t="s">
        <v>166</v>
      </c>
      <c r="B158" s="3" t="s">
        <v>167</v>
      </c>
      <c r="C158" s="2" t="s">
        <v>183</v>
      </c>
      <c r="D158" s="4" t="n">
        <v>2100</v>
      </c>
      <c r="E158" s="5" t="n">
        <f aca="false">D158/100</f>
        <v>21</v>
      </c>
      <c r="F158" s="3" t="s">
        <v>10</v>
      </c>
      <c r="G158" s="3" t="s">
        <v>10</v>
      </c>
    </row>
    <row r="159" customFormat="false" ht="15" hidden="false" customHeight="false" outlineLevel="0" collapsed="false">
      <c r="A159" s="2" t="s">
        <v>166</v>
      </c>
      <c r="B159" s="3" t="s">
        <v>167</v>
      </c>
      <c r="C159" s="2" t="s">
        <v>184</v>
      </c>
      <c r="D159" s="4" t="n">
        <v>500</v>
      </c>
      <c r="E159" s="5" t="n">
        <f aca="false">D159/100</f>
        <v>5</v>
      </c>
      <c r="F159" s="3" t="s">
        <v>10</v>
      </c>
      <c r="G159" s="3" t="s">
        <v>10</v>
      </c>
    </row>
    <row r="160" customFormat="false" ht="15" hidden="false" customHeight="false" outlineLevel="0" collapsed="false">
      <c r="A160" s="2" t="s">
        <v>185</v>
      </c>
      <c r="B160" s="3" t="s">
        <v>186</v>
      </c>
      <c r="C160" s="2" t="s">
        <v>187</v>
      </c>
      <c r="D160" s="4" t="n">
        <v>1400</v>
      </c>
      <c r="E160" s="5" t="n">
        <f aca="false">D160/100</f>
        <v>14</v>
      </c>
      <c r="F160" s="3" t="s">
        <v>10</v>
      </c>
      <c r="G160" s="3" t="s">
        <v>10</v>
      </c>
    </row>
    <row r="161" customFormat="false" ht="15" hidden="false" customHeight="false" outlineLevel="0" collapsed="false">
      <c r="A161" s="2" t="s">
        <v>185</v>
      </c>
      <c r="B161" s="3" t="s">
        <v>186</v>
      </c>
      <c r="C161" s="2" t="s">
        <v>188</v>
      </c>
      <c r="D161" s="4" t="n">
        <v>30</v>
      </c>
      <c r="E161" s="5" t="n">
        <f aca="false">D161/100</f>
        <v>0.3</v>
      </c>
      <c r="F161" s="3" t="s">
        <v>10</v>
      </c>
      <c r="G161" s="3" t="s">
        <v>10</v>
      </c>
    </row>
    <row r="162" customFormat="false" ht="15" hidden="false" customHeight="false" outlineLevel="0" collapsed="false">
      <c r="A162" s="2" t="s">
        <v>185</v>
      </c>
      <c r="B162" s="3" t="s">
        <v>186</v>
      </c>
      <c r="C162" s="2" t="s">
        <v>189</v>
      </c>
      <c r="D162" s="4" t="n">
        <v>100</v>
      </c>
      <c r="E162" s="5" t="n">
        <f aca="false">D162/100</f>
        <v>1</v>
      </c>
      <c r="F162" s="3" t="s">
        <v>13</v>
      </c>
      <c r="G162" s="3" t="s">
        <v>10</v>
      </c>
    </row>
    <row r="163" customFormat="false" ht="15" hidden="false" customHeight="false" outlineLevel="0" collapsed="false">
      <c r="A163" s="2" t="s">
        <v>185</v>
      </c>
      <c r="B163" s="3" t="s">
        <v>186</v>
      </c>
      <c r="C163" s="2" t="s">
        <v>190</v>
      </c>
      <c r="D163" s="4" t="n">
        <v>120</v>
      </c>
      <c r="E163" s="5" t="n">
        <f aca="false">D163/100</f>
        <v>1.2</v>
      </c>
      <c r="F163" s="3" t="s">
        <v>13</v>
      </c>
      <c r="G163" s="3" t="s">
        <v>10</v>
      </c>
    </row>
    <row r="164" customFormat="false" ht="15" hidden="false" customHeight="false" outlineLevel="0" collapsed="false">
      <c r="A164" s="2" t="s">
        <v>185</v>
      </c>
      <c r="B164" s="3" t="s">
        <v>186</v>
      </c>
      <c r="C164" s="2" t="s">
        <v>191</v>
      </c>
      <c r="D164" s="4" t="n">
        <v>30</v>
      </c>
      <c r="E164" s="5" t="n">
        <f aca="false">D164/100</f>
        <v>0.3</v>
      </c>
      <c r="F164" s="3" t="s">
        <v>10</v>
      </c>
      <c r="G164" s="3" t="s">
        <v>10</v>
      </c>
    </row>
    <row r="165" customFormat="false" ht="15" hidden="false" customHeight="false" outlineLevel="0" collapsed="false">
      <c r="A165" s="2" t="s">
        <v>185</v>
      </c>
      <c r="B165" s="3" t="s">
        <v>186</v>
      </c>
      <c r="C165" s="2" t="s">
        <v>192</v>
      </c>
      <c r="D165" s="4" t="n">
        <v>800</v>
      </c>
      <c r="E165" s="5" t="n">
        <f aca="false">D165/100</f>
        <v>8</v>
      </c>
      <c r="F165" s="3" t="s">
        <v>10</v>
      </c>
      <c r="G165" s="3" t="s">
        <v>10</v>
      </c>
    </row>
    <row r="166" customFormat="false" ht="15" hidden="false" customHeight="false" outlineLevel="0" collapsed="false">
      <c r="A166" s="2" t="s">
        <v>185</v>
      </c>
      <c r="B166" s="3" t="s">
        <v>186</v>
      </c>
      <c r="C166" s="2" t="s">
        <v>193</v>
      </c>
      <c r="D166" s="4" t="n">
        <v>2300</v>
      </c>
      <c r="E166" s="5" t="n">
        <f aca="false">D166/100</f>
        <v>23</v>
      </c>
      <c r="F166" s="3" t="s">
        <v>13</v>
      </c>
      <c r="G166" s="3" t="s">
        <v>10</v>
      </c>
    </row>
    <row r="167" customFormat="false" ht="15" hidden="false" customHeight="false" outlineLevel="0" collapsed="false">
      <c r="A167" s="2" t="s">
        <v>185</v>
      </c>
      <c r="B167" s="3" t="s">
        <v>186</v>
      </c>
      <c r="C167" s="2" t="s">
        <v>194</v>
      </c>
      <c r="D167" s="4" t="n">
        <v>1125</v>
      </c>
      <c r="E167" s="5" t="n">
        <f aca="false">D167/100</f>
        <v>11.25</v>
      </c>
      <c r="F167" s="3" t="s">
        <v>10</v>
      </c>
      <c r="G167" s="3" t="s">
        <v>10</v>
      </c>
    </row>
    <row r="168" customFormat="false" ht="15" hidden="false" customHeight="false" outlineLevel="0" collapsed="false">
      <c r="A168" s="2" t="s">
        <v>185</v>
      </c>
      <c r="B168" s="3" t="s">
        <v>186</v>
      </c>
      <c r="C168" s="2" t="s">
        <v>195</v>
      </c>
      <c r="D168" s="4" t="n">
        <v>100</v>
      </c>
      <c r="E168" s="5" t="n">
        <f aca="false">D168/100</f>
        <v>1</v>
      </c>
      <c r="F168" s="3" t="s">
        <v>10</v>
      </c>
      <c r="G168" s="3" t="s">
        <v>10</v>
      </c>
    </row>
    <row r="169" customFormat="false" ht="15" hidden="false" customHeight="false" outlineLevel="0" collapsed="false">
      <c r="A169" s="2" t="s">
        <v>185</v>
      </c>
      <c r="B169" s="3" t="s">
        <v>186</v>
      </c>
      <c r="C169" s="2" t="s">
        <v>196</v>
      </c>
      <c r="D169" s="4" t="n">
        <v>75</v>
      </c>
      <c r="E169" s="5" t="n">
        <f aca="false">D169/100</f>
        <v>0.75</v>
      </c>
      <c r="F169" s="3" t="s">
        <v>13</v>
      </c>
      <c r="G169" s="3" t="s">
        <v>10</v>
      </c>
    </row>
    <row r="170" customFormat="false" ht="15" hidden="false" customHeight="false" outlineLevel="0" collapsed="false">
      <c r="A170" s="2" t="s">
        <v>185</v>
      </c>
      <c r="B170" s="3" t="s">
        <v>186</v>
      </c>
      <c r="C170" s="2" t="s">
        <v>197</v>
      </c>
      <c r="D170" s="4" t="n">
        <v>600</v>
      </c>
      <c r="E170" s="5" t="n">
        <f aca="false">D170/100</f>
        <v>6</v>
      </c>
      <c r="F170" s="3" t="s">
        <v>10</v>
      </c>
      <c r="G170" s="3" t="s">
        <v>10</v>
      </c>
    </row>
    <row r="171" customFormat="false" ht="15" hidden="false" customHeight="false" outlineLevel="0" collapsed="false">
      <c r="A171" s="2" t="s">
        <v>185</v>
      </c>
      <c r="B171" s="3" t="s">
        <v>186</v>
      </c>
      <c r="C171" s="2" t="s">
        <v>198</v>
      </c>
      <c r="D171" s="4" t="n">
        <v>1800</v>
      </c>
      <c r="E171" s="5" t="n">
        <f aca="false">D171/100</f>
        <v>18</v>
      </c>
      <c r="F171" s="3" t="s">
        <v>13</v>
      </c>
      <c r="G171" s="3" t="s">
        <v>10</v>
      </c>
    </row>
    <row r="172" customFormat="false" ht="15" hidden="false" customHeight="false" outlineLevel="0" collapsed="false">
      <c r="A172" s="2" t="s">
        <v>185</v>
      </c>
      <c r="B172" s="3" t="s">
        <v>186</v>
      </c>
      <c r="C172" s="2" t="s">
        <v>199</v>
      </c>
      <c r="D172" s="4" t="n">
        <v>30</v>
      </c>
      <c r="E172" s="5" t="n">
        <f aca="false">D172/100</f>
        <v>0.3</v>
      </c>
      <c r="F172" s="3" t="s">
        <v>10</v>
      </c>
      <c r="G172" s="3" t="s">
        <v>10</v>
      </c>
    </row>
    <row r="173" customFormat="false" ht="15" hidden="false" customHeight="false" outlineLevel="0" collapsed="false">
      <c r="A173" s="2" t="s">
        <v>185</v>
      </c>
      <c r="B173" s="3" t="s">
        <v>186</v>
      </c>
      <c r="C173" s="2" t="s">
        <v>200</v>
      </c>
      <c r="D173" s="4" t="n">
        <v>1400</v>
      </c>
      <c r="E173" s="5" t="n">
        <f aca="false">D173/100</f>
        <v>14</v>
      </c>
      <c r="F173" s="3" t="s">
        <v>13</v>
      </c>
      <c r="G173" s="3" t="s">
        <v>10</v>
      </c>
    </row>
    <row r="174" customFormat="false" ht="15" hidden="false" customHeight="false" outlineLevel="0" collapsed="false">
      <c r="A174" s="2" t="s">
        <v>185</v>
      </c>
      <c r="B174" s="3" t="s">
        <v>186</v>
      </c>
      <c r="C174" s="2" t="s">
        <v>201</v>
      </c>
      <c r="D174" s="4" t="n">
        <v>40</v>
      </c>
      <c r="E174" s="5" t="n">
        <f aca="false">D174/100</f>
        <v>0.4</v>
      </c>
      <c r="F174" s="3" t="s">
        <v>10</v>
      </c>
      <c r="G174" s="3" t="s">
        <v>10</v>
      </c>
    </row>
  </sheetData>
  <autoFilter ref="A1:G17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7"/>
    <col collapsed="false" customWidth="true" hidden="false" outlineLevel="0" max="3" min="3" style="0" width="12"/>
    <col collapsed="false" customWidth="true" hidden="false" outlineLevel="0" max="4" min="4" style="0" width="17"/>
    <col collapsed="false" customWidth="true" hidden="false" outlineLevel="0" max="5" min="5" style="0" width="16"/>
    <col collapsed="false" customWidth="true" hidden="false" outlineLevel="0" max="6" min="6" style="0" width="17"/>
    <col collapsed="false" customWidth="true" hidden="false" outlineLevel="0" max="7" min="7" style="0" width="24"/>
    <col collapsed="false" customWidth="true" hidden="false" outlineLevel="0" max="8" min="8" style="0" width="28"/>
    <col collapsed="false" customWidth="true" hidden="false" outlineLevel="0" max="9" min="9" style="0" width="18"/>
    <col collapsed="false" customWidth="true" hidden="false" outlineLevel="0" max="10" min="10" style="0" width="30"/>
    <col collapsed="false" customWidth="true" hidden="false" outlineLevel="0" max="11" min="11" style="0" width="24"/>
  </cols>
  <sheetData>
    <row r="1" customFormat="false" ht="21.75" hidden="false" customHeight="true" outlineLevel="0" collapsed="false">
      <c r="A1" s="1" t="s">
        <v>0</v>
      </c>
      <c r="B1" s="1" t="s">
        <v>1</v>
      </c>
      <c r="C1" s="1" t="s">
        <v>202</v>
      </c>
      <c r="D1" s="1" t="s">
        <v>203</v>
      </c>
      <c r="E1" s="1" t="s">
        <v>204</v>
      </c>
      <c r="F1" s="1" t="s">
        <v>205</v>
      </c>
      <c r="G1" s="1" t="s">
        <v>206</v>
      </c>
      <c r="H1" s="1" t="s">
        <v>207</v>
      </c>
      <c r="I1" s="1" t="s">
        <v>208</v>
      </c>
      <c r="J1" s="1" t="s">
        <v>209</v>
      </c>
      <c r="K1" s="1" t="s">
        <v>210</v>
      </c>
    </row>
    <row r="2" customFormat="false" ht="15" hidden="false" customHeight="false" outlineLevel="0" collapsed="false">
      <c r="A2" s="2" t="s">
        <v>7</v>
      </c>
      <c r="B2" s="3" t="s">
        <v>8</v>
      </c>
      <c r="C2" s="3" t="n">
        <f aca="false">COUNTIF(Players!B:B,"CSK")</f>
        <v>16</v>
      </c>
      <c r="D2" s="3" t="n">
        <f aca="false">COUNTIFS(Players!B:B,"CSK",Players!F:F,"Yes")</f>
        <v>4</v>
      </c>
      <c r="E2" s="3" t="n">
        <f aca="false">C2-D2</f>
        <v>12</v>
      </c>
      <c r="F2" s="3" t="n">
        <f aca="false">COUNTIFS(Players!B:B,"CSK",Players!G:G,"Yes")</f>
        <v>1</v>
      </c>
      <c r="G2" s="4" t="n">
        <f aca="false">SUMIF(Players!B:B,"CSK",Players!D:D)</f>
        <v>7960</v>
      </c>
      <c r="H2" s="4" t="n">
        <v>8160</v>
      </c>
      <c r="I2" s="4" t="n">
        <f aca="false">H2-G2</f>
        <v>200</v>
      </c>
      <c r="J2" s="4" t="n">
        <v>4340</v>
      </c>
      <c r="K2" s="5" t="n">
        <f aca="false">G2/100</f>
        <v>79.6</v>
      </c>
    </row>
    <row r="3" customFormat="false" ht="15" hidden="false" customHeight="false" outlineLevel="0" collapsed="false">
      <c r="A3" s="2" t="s">
        <v>27</v>
      </c>
      <c r="B3" s="3" t="s">
        <v>28</v>
      </c>
      <c r="C3" s="3" t="n">
        <f aca="false">COUNTIF(Players!B:B,"DC")</f>
        <v>17</v>
      </c>
      <c r="D3" s="3" t="n">
        <f aca="false">COUNTIFS(Players!B:B,"DC",Players!F:F,"Yes")</f>
        <v>3</v>
      </c>
      <c r="E3" s="3" t="n">
        <f aca="false">C3-D3</f>
        <v>14</v>
      </c>
      <c r="F3" s="3" t="n">
        <f aca="false">COUNTIFS(Players!B:B,"DC",Players!G:G,"Yes")</f>
        <v>1</v>
      </c>
      <c r="G3" s="4" t="n">
        <f aca="false">SUMIF(Players!B:B,"DC",Players!D:D)</f>
        <v>9995</v>
      </c>
      <c r="H3" s="4" t="n">
        <v>10320</v>
      </c>
      <c r="I3" s="4" t="n">
        <f aca="false">H3-G3</f>
        <v>325</v>
      </c>
      <c r="J3" s="4" t="n">
        <v>2180</v>
      </c>
      <c r="K3" s="5" t="n">
        <f aca="false">G3/100</f>
        <v>99.95</v>
      </c>
    </row>
    <row r="4" customFormat="false" ht="15" hidden="false" customHeight="false" outlineLevel="0" collapsed="false">
      <c r="A4" s="2" t="s">
        <v>46</v>
      </c>
      <c r="B4" s="3" t="s">
        <v>47</v>
      </c>
      <c r="C4" s="3" t="n">
        <f aca="false">COUNTIF(Players!B:B,"GT")</f>
        <v>20</v>
      </c>
      <c r="D4" s="3" t="n">
        <f aca="false">COUNTIFS(Players!B:B,"GT",Players!F:F,"Yes")</f>
        <v>4</v>
      </c>
      <c r="E4" s="3" t="n">
        <f aca="false">C4-D4</f>
        <v>16</v>
      </c>
      <c r="F4" s="3" t="n">
        <f aca="false">COUNTIFS(Players!B:B,"GT",Players!G:G,"Yes")</f>
        <v>0</v>
      </c>
      <c r="G4" s="4" t="n">
        <f aca="false">SUMIF(Players!B:B,"GT",Players!D:D)</f>
        <v>11210</v>
      </c>
      <c r="H4" s="4" t="n">
        <v>11210</v>
      </c>
      <c r="I4" s="4" t="n">
        <f aca="false">H4-G4</f>
        <v>0</v>
      </c>
      <c r="J4" s="4" t="n">
        <v>1290</v>
      </c>
      <c r="K4" s="5" t="n">
        <f aca="false">G4/100</f>
        <v>112.1</v>
      </c>
    </row>
    <row r="5" customFormat="false" ht="15" hidden="false" customHeight="false" outlineLevel="0" collapsed="false">
      <c r="A5" s="2" t="s">
        <v>68</v>
      </c>
      <c r="B5" s="3" t="s">
        <v>69</v>
      </c>
      <c r="C5" s="3" t="n">
        <f aca="false">COUNTIF(Players!B:B,"KKR")</f>
        <v>12</v>
      </c>
      <c r="D5" s="3" t="n">
        <f aca="false">COUNTIFS(Players!B:B,"KKR",Players!F:F,"Yes")</f>
        <v>2</v>
      </c>
      <c r="E5" s="3" t="n">
        <f aca="false">C5-D5</f>
        <v>10</v>
      </c>
      <c r="F5" s="3" t="n">
        <f aca="false">COUNTIFS(Players!B:B,"KKR",Players!G:G,"Yes")</f>
        <v>0</v>
      </c>
      <c r="G5" s="4" t="n">
        <f aca="false">SUMIF(Players!B:B,"KKR",Players!D:D)</f>
        <v>5470</v>
      </c>
      <c r="H5" s="4" t="n">
        <v>6070</v>
      </c>
      <c r="I5" s="4" t="n">
        <f aca="false">H5-G5</f>
        <v>600</v>
      </c>
      <c r="J5" s="4" t="n">
        <v>6430</v>
      </c>
      <c r="K5" s="5" t="n">
        <f aca="false">G5/100</f>
        <v>54.7</v>
      </c>
    </row>
    <row r="6" customFormat="false" ht="15" hidden="false" customHeight="false" outlineLevel="0" collapsed="false">
      <c r="A6" s="2" t="s">
        <v>82</v>
      </c>
      <c r="B6" s="3" t="s">
        <v>83</v>
      </c>
      <c r="C6" s="3" t="n">
        <f aca="false">COUNTIF(Players!B:B,"LSG")</f>
        <v>19</v>
      </c>
      <c r="D6" s="3" t="n">
        <f aca="false">COUNTIFS(Players!B:B,"LSG",Players!F:F,"Yes")</f>
        <v>4</v>
      </c>
      <c r="E6" s="3" t="n">
        <f aca="false">C6-D6</f>
        <v>15</v>
      </c>
      <c r="F6" s="3" t="n">
        <f aca="false">COUNTIFS(Players!B:B,"LSG",Players!G:G,"Yes")</f>
        <v>2</v>
      </c>
      <c r="G6" s="4" t="n">
        <f aca="false">SUMIF(Players!B:B,"LSG",Players!D:D)</f>
        <v>10205</v>
      </c>
      <c r="H6" s="4" t="n">
        <v>10205</v>
      </c>
      <c r="I6" s="4" t="n">
        <f aca="false">H6-G6</f>
        <v>0</v>
      </c>
      <c r="J6" s="4" t="n">
        <v>2295</v>
      </c>
      <c r="K6" s="5" t="n">
        <f aca="false">G6/100</f>
        <v>102.05</v>
      </c>
    </row>
    <row r="7" customFormat="false" ht="15" hidden="false" customHeight="false" outlineLevel="0" collapsed="false">
      <c r="A7" s="2" t="s">
        <v>103</v>
      </c>
      <c r="B7" s="3" t="s">
        <v>104</v>
      </c>
      <c r="C7" s="3" t="n">
        <f aca="false">COUNTIF(Players!B:B,"MI")</f>
        <v>20</v>
      </c>
      <c r="D7" s="3" t="n">
        <f aca="false">COUNTIFS(Players!B:B,"MI",Players!F:F,"Yes")</f>
        <v>7</v>
      </c>
      <c r="E7" s="3" t="n">
        <f aca="false">C7-D7</f>
        <v>13</v>
      </c>
      <c r="F7" s="3" t="n">
        <f aca="false">COUNTIFS(Players!B:B,"MI",Players!G:G,"Yes")</f>
        <v>3</v>
      </c>
      <c r="G7" s="4" t="n">
        <f aca="false">SUMIF(Players!B:B,"MI",Players!D:D)</f>
        <v>12225</v>
      </c>
      <c r="H7" s="4" t="n">
        <v>12225</v>
      </c>
      <c r="I7" s="4" t="n">
        <f aca="false">H7-G7</f>
        <v>0</v>
      </c>
      <c r="J7" s="4" t="n">
        <v>275</v>
      </c>
      <c r="K7" s="5" t="n">
        <f aca="false">G7/100</f>
        <v>122.25</v>
      </c>
    </row>
    <row r="8" customFormat="false" ht="15" hidden="false" customHeight="false" outlineLevel="0" collapsed="false">
      <c r="A8" s="2" t="s">
        <v>125</v>
      </c>
      <c r="B8" s="3" t="s">
        <v>126</v>
      </c>
      <c r="C8" s="3" t="n">
        <f aca="false">COUNTIF(Players!B:B,"PBKS")</f>
        <v>21</v>
      </c>
      <c r="D8" s="3" t="n">
        <f aca="false">COUNTIFS(Players!B:B,"PBKS",Players!F:F,"Yes")</f>
        <v>6</v>
      </c>
      <c r="E8" s="3" t="n">
        <f aca="false">C8-D8</f>
        <v>15</v>
      </c>
      <c r="F8" s="3" t="n">
        <f aca="false">COUNTIFS(Players!B:B,"PBKS",Players!G:G,"Yes")</f>
        <v>0</v>
      </c>
      <c r="G8" s="4" t="n">
        <f aca="false">SUMIF(Players!B:B,"PBKS",Players!D:D)</f>
        <v>11350</v>
      </c>
      <c r="H8" s="4" t="n">
        <v>11350</v>
      </c>
      <c r="I8" s="4" t="n">
        <f aca="false">H8-G8</f>
        <v>0</v>
      </c>
      <c r="J8" s="4" t="n">
        <v>1150</v>
      </c>
      <c r="K8" s="5" t="n">
        <f aca="false">G8/100</f>
        <v>113.5</v>
      </c>
    </row>
    <row r="9" customFormat="false" ht="15" hidden="false" customHeight="false" outlineLevel="0" collapsed="false">
      <c r="A9" s="2" t="s">
        <v>148</v>
      </c>
      <c r="B9" s="3" t="s">
        <v>149</v>
      </c>
      <c r="C9" s="3" t="n">
        <f aca="false">COUNTIF(Players!B:B,"RR")</f>
        <v>16</v>
      </c>
      <c r="D9" s="3" t="n">
        <f aca="false">COUNTIFS(Players!B:B,"RR",Players!F:F,"Yes")</f>
        <v>7</v>
      </c>
      <c r="E9" s="3" t="n">
        <f aca="false">C9-D9</f>
        <v>9</v>
      </c>
      <c r="F9" s="3" t="n">
        <f aca="false">COUNTIFS(Players!B:B,"RR",Players!G:G,"Yes")</f>
        <v>3</v>
      </c>
      <c r="G9" s="4" t="n">
        <f aca="false">SUMIF(Players!B:B,"RR",Players!D:D)</f>
        <v>10495</v>
      </c>
      <c r="H9" s="4" t="n">
        <v>10895</v>
      </c>
      <c r="I9" s="4" t="n">
        <f aca="false">H9-G9</f>
        <v>400</v>
      </c>
      <c r="J9" s="4" t="n">
        <v>1605</v>
      </c>
      <c r="K9" s="5" t="n">
        <f aca="false">G9/100</f>
        <v>104.95</v>
      </c>
    </row>
    <row r="10" customFormat="false" ht="15" hidden="false" customHeight="false" outlineLevel="0" collapsed="false">
      <c r="A10" s="2" t="s">
        <v>166</v>
      </c>
      <c r="B10" s="3" t="s">
        <v>167</v>
      </c>
      <c r="C10" s="3" t="n">
        <f aca="false">COUNTIF(Players!B:B,"RCB")</f>
        <v>17</v>
      </c>
      <c r="D10" s="3" t="n">
        <f aca="false">COUNTIFS(Players!B:B,"RCB",Players!F:F,"Yes")</f>
        <v>6</v>
      </c>
      <c r="E10" s="3" t="n">
        <f aca="false">C10-D10</f>
        <v>11</v>
      </c>
      <c r="F10" s="3" t="n">
        <f aca="false">COUNTIFS(Players!B:B,"RCB",Players!G:G,"Yes")</f>
        <v>0</v>
      </c>
      <c r="G10" s="4" t="n">
        <f aca="false">SUMIF(Players!B:B,"RCB",Players!D:D)</f>
        <v>10860</v>
      </c>
      <c r="H10" s="4" t="n">
        <v>10860</v>
      </c>
      <c r="I10" s="4" t="n">
        <f aca="false">H10-G10</f>
        <v>0</v>
      </c>
      <c r="J10" s="4" t="n">
        <v>1640</v>
      </c>
      <c r="K10" s="5" t="n">
        <f aca="false">G10/100</f>
        <v>108.6</v>
      </c>
    </row>
    <row r="11" customFormat="false" ht="15" hidden="false" customHeight="false" outlineLevel="0" collapsed="false">
      <c r="A11" s="2" t="s">
        <v>185</v>
      </c>
      <c r="B11" s="3" t="s">
        <v>186</v>
      </c>
      <c r="C11" s="3" t="n">
        <f aca="false">COUNTIF(Players!B:B,"SRH")</f>
        <v>15</v>
      </c>
      <c r="D11" s="3" t="n">
        <f aca="false">COUNTIFS(Players!B:B,"SRH",Players!F:F,"Yes")</f>
        <v>6</v>
      </c>
      <c r="E11" s="3" t="n">
        <f aca="false">C11-D11</f>
        <v>9</v>
      </c>
      <c r="F11" s="3" t="n">
        <f aca="false">COUNTIFS(Players!B:B,"SRH",Players!G:G,"Yes")</f>
        <v>0</v>
      </c>
      <c r="G11" s="4" t="n">
        <f aca="false">SUMIF(Players!B:B,"SRH",Players!D:D)</f>
        <v>9950</v>
      </c>
      <c r="H11" s="4" t="n">
        <v>9950</v>
      </c>
      <c r="I11" s="4" t="n">
        <f aca="false">H11-G11</f>
        <v>0</v>
      </c>
      <c r="J11" s="4" t="n">
        <v>2550</v>
      </c>
      <c r="K11" s="5" t="n">
        <f aca="false">G11/100</f>
        <v>99.5</v>
      </c>
    </row>
    <row r="12" customFormat="false" ht="15" hidden="false" customHeight="false" outlineLevel="0" collapsed="false">
      <c r="A12" s="6" t="s">
        <v>211</v>
      </c>
      <c r="B12" s="7"/>
      <c r="C12" s="7" t="n">
        <f aca="false">SUM(C2:C11)</f>
        <v>173</v>
      </c>
      <c r="D12" s="7" t="n">
        <f aca="false">SUM(D2:D11)</f>
        <v>49</v>
      </c>
      <c r="E12" s="7" t="n">
        <f aca="false">SUM(E2:E11)</f>
        <v>124</v>
      </c>
      <c r="F12" s="7" t="n">
        <f aca="false">SUM(F2:F11)</f>
        <v>10</v>
      </c>
      <c r="G12" s="8" t="n">
        <f aca="false">SUM(G2:G11)</f>
        <v>99720</v>
      </c>
      <c r="H12" s="8" t="n">
        <f aca="false">SUM(H2:H11)</f>
        <v>101245</v>
      </c>
      <c r="I12" s="8" t="n">
        <f aca="false">SUM(I2:I11)</f>
        <v>1525</v>
      </c>
      <c r="J12" s="8" t="n">
        <f aca="false">SUM(J2:J11)</f>
        <v>23755</v>
      </c>
      <c r="K12" s="9" t="n">
        <f aca="false">SUM(K2:K11)</f>
        <v>997.2</v>
      </c>
    </row>
  </sheetData>
  <autoFilter ref="A1:K11"/>
  <conditionalFormatting sqref="I2:I11">
    <cfRule type="cellIs" priority="2" operator="notEqual" aboveAverage="0" equalAverage="0" bottom="0" percent="0" rank="0" text="" dxfId="5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0"/>
  </cols>
  <sheetData>
    <row r="1" customFormat="false" ht="15" hidden="false" customHeight="false" outlineLevel="0" collapsed="false">
      <c r="A1" s="10" t="s">
        <v>212</v>
      </c>
    </row>
    <row r="2" customFormat="false" ht="15" hidden="false" customHeight="false" outlineLevel="0" collapsed="false">
      <c r="A2" s="11"/>
    </row>
    <row r="3" customFormat="false" ht="15" hidden="false" customHeight="false" outlineLevel="0" collapsed="false">
      <c r="A3" s="11" t="s">
        <v>213</v>
      </c>
    </row>
    <row r="4" customFormat="false" ht="15" hidden="false" customHeight="false" outlineLevel="0" collapsed="false">
      <c r="A4" s="11"/>
    </row>
    <row r="5" customFormat="false" ht="15" hidden="false" customHeight="false" outlineLevel="0" collapsed="false">
      <c r="A5" s="10" t="s">
        <v>214</v>
      </c>
    </row>
    <row r="6" customFormat="false" ht="15" hidden="false" customHeight="false" outlineLevel="0" collapsed="false">
      <c r="A6" s="11" t="s">
        <v>215</v>
      </c>
    </row>
    <row r="7" customFormat="false" ht="15" hidden="false" customHeight="false" outlineLevel="0" collapsed="false">
      <c r="A7" s="11" t="s">
        <v>216</v>
      </c>
    </row>
    <row r="8" customFormat="false" ht="15" hidden="false" customHeight="false" outlineLevel="0" collapsed="false">
      <c r="A8" s="11"/>
    </row>
    <row r="9" customFormat="false" ht="15" hidden="false" customHeight="false" outlineLevel="0" collapsed="false">
      <c r="A9" s="10" t="s">
        <v>217</v>
      </c>
    </row>
    <row r="10" customFormat="false" ht="15" hidden="false" customHeight="false" outlineLevel="0" collapsed="false">
      <c r="A10" s="11" t="s">
        <v>218</v>
      </c>
    </row>
    <row r="11" customFormat="false" ht="15" hidden="false" customHeight="false" outlineLevel="0" collapsed="false">
      <c r="A11" s="11" t="s">
        <v>219</v>
      </c>
    </row>
    <row r="12" customFormat="false" ht="15" hidden="false" customHeight="false" outlineLevel="0" collapsed="false">
      <c r="A12" s="11" t="s">
        <v>220</v>
      </c>
    </row>
    <row r="13" customFormat="false" ht="15" hidden="false" customHeight="false" outlineLevel="0" collapsed="false">
      <c r="A13" s="11"/>
    </row>
    <row r="14" customFormat="false" ht="15" hidden="false" customHeight="false" outlineLevel="0" collapsed="false">
      <c r="A14" s="10" t="s">
        <v>221</v>
      </c>
    </row>
    <row r="15" customFormat="false" ht="15" hidden="false" customHeight="false" outlineLevel="0" collapsed="false">
      <c r="A15" s="11" t="s">
        <v>222</v>
      </c>
    </row>
    <row r="16" customFormat="false" ht="15" hidden="false" customHeight="false" outlineLevel="0" collapsed="false">
      <c r="A16" s="11" t="s">
        <v>223</v>
      </c>
    </row>
    <row r="17" customFormat="false" ht="15" hidden="false" customHeight="false" outlineLevel="0" collapsed="false">
      <c r="A17" s="11"/>
    </row>
    <row r="18" customFormat="false" ht="15" hidden="false" customHeight="false" outlineLevel="0" collapsed="false">
      <c r="A18" s="10" t="s">
        <v>224</v>
      </c>
    </row>
    <row r="19" customFormat="false" ht="15" hidden="false" customHeight="false" outlineLevel="0" collapsed="false">
      <c r="A19" s="11" t="s">
        <v>225</v>
      </c>
    </row>
    <row r="20" customFormat="false" ht="15" hidden="false" customHeight="false" outlineLevel="0" collapsed="false">
      <c r="A20" s="11" t="s">
        <v>226</v>
      </c>
    </row>
    <row r="21" customFormat="false" ht="15" hidden="false" customHeight="false" outlineLevel="0" collapsed="false">
      <c r="A21" s="11" t="s">
        <v>227</v>
      </c>
    </row>
    <row r="22" customFormat="false" ht="15" hidden="false" customHeight="false" outlineLevel="0" collapsed="false">
      <c r="A22" s="11" t="s">
        <v>228</v>
      </c>
    </row>
    <row r="23" customFormat="false" ht="15" hidden="false" customHeight="false" outlineLevel="0" collapsed="false">
      <c r="A23" s="11" t="s">
        <v>229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2026-04-20T14:09:20Z</dcterms:created>
  <dc:creator>openpyxl</dc:creator>
  <dc:description/>
  <dc:language>en-US</dc:language>
  <cp:lastModifiedBy/>
  <dcterms:modified xsi:type="dcterms:W3CDTF">2026-04-20T14:09:20Z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